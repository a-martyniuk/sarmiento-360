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2.2025" sheetId="1" r:id="rId4"/>
    <sheet state="visible" name="Cuota Sindical" sheetId="2" r:id="rId5"/>
    <sheet state="visible" name="Comisiones" sheetId="3" r:id="rId6"/>
    <sheet state="visible" name="25413" sheetId="4" r:id="rId7"/>
    <sheet state="visible" name="LA UNION E HIJS" sheetId="5" r:id="rId8"/>
    <sheet state="visible" name="Diferencias Encontradas" sheetId="6" r:id="rId9"/>
  </sheets>
  <definedNames/>
  <calcPr/>
  <extLst>
    <ext uri="GoogleSheetsCustomDataVersion2">
      <go:sheetsCustomData xmlns:go="http://customooxmlschemas.google.com/" r:id="rId10" roundtripDataChecksum="HVR34m/J4eXdPtS6Zh9ED+aXOVWmldWoj6S8ezUvOfI="/>
    </ext>
  </extLst>
</workbook>
</file>

<file path=xl/sharedStrings.xml><?xml version="1.0" encoding="utf-8"?>
<sst xmlns="http://schemas.openxmlformats.org/spreadsheetml/2006/main" count="650" uniqueCount="586">
  <si>
    <t>FECHA</t>
  </si>
  <si>
    <t>DETALLE</t>
  </si>
  <si>
    <t>MONTO</t>
  </si>
  <si>
    <t>Detalle</t>
  </si>
  <si>
    <t>Fecha</t>
  </si>
  <si>
    <t>FED ARG DE TRAB</t>
  </si>
  <si>
    <t>Monto</t>
  </si>
  <si>
    <t>COMISION SERVICIO DE CUENTA</t>
  </si>
  <si>
    <t>SIND UN TRAB REN</t>
  </si>
  <si>
    <t>IVA</t>
  </si>
  <si>
    <t>FED ARG TRAB REN</t>
  </si>
  <si>
    <t>PERCEP IVA</t>
  </si>
  <si>
    <t>IMP ING BRUTOS</t>
  </si>
  <si>
    <t>COM GESTION TRANS FONDOS ENTRE BANCOS</t>
  </si>
  <si>
    <r>
      <rPr>
        <rFont val="Calibri"/>
        <b/>
        <color theme="1"/>
        <sz val="8.0"/>
      </rPr>
      <t>LIQUIDACION DE GASTOS</t>
    </r>
  </si>
  <si>
    <t>COMISION DEPOSITOS EN EVO</t>
  </si>
  <si>
    <t>COM DEP EFVO BILL BAJA DENOMINACION</t>
  </si>
  <si>
    <r>
      <rPr>
        <rFont val="Calibri"/>
        <b/>
        <color theme="1"/>
        <sz val="8.0"/>
      </rPr>
      <t>MES DE LIQUIDACIÓN (CIERRE):             DICIEMBRE 2025                   MES DE VENCIMIENTO DE LA LIQUIDACION:                                                                 ENERO 2026</t>
    </r>
  </si>
  <si>
    <r>
      <rPr>
        <rFont val="Calibri"/>
        <b/>
        <color rgb="FF000000"/>
        <sz val="11.0"/>
      </rPr>
      <t xml:space="preserve">Estado de cuentas y prorrateo
</t>
    </r>
    <r>
      <rPr>
        <rFont val="Calibri"/>
        <b/>
        <color rgb="FF000000"/>
        <sz val="10.0"/>
      </rPr>
      <t>PERIODO DICIEMBRE 2025                                                        VENCIMIENTO 15/01/2026                                                            Tasa de interés: 7,30%</t>
    </r>
  </si>
  <si>
    <r>
      <rPr>
        <rFont val="Calibri"/>
        <b/>
        <color theme="1"/>
        <sz val="9.0"/>
      </rPr>
      <t>UF</t>
    </r>
  </si>
  <si>
    <r>
      <rPr>
        <rFont val="Calibri"/>
        <b/>
        <color theme="1"/>
        <sz val="9.0"/>
      </rPr>
      <t>DEPTO</t>
    </r>
  </si>
  <si>
    <r>
      <rPr>
        <rFont val="Calibri"/>
        <b/>
        <color theme="1"/>
        <sz val="9.0"/>
      </rPr>
      <t>PROPIETARIOS</t>
    </r>
  </si>
  <si>
    <r>
      <rPr>
        <rFont val="Calibri"/>
        <b/>
        <color theme="1"/>
        <sz val="9.0"/>
      </rPr>
      <t>PORCENTUAL</t>
    </r>
  </si>
  <si>
    <r>
      <rPr>
        <rFont val="Calibri"/>
        <b/>
        <color theme="1"/>
        <sz val="9.0"/>
      </rPr>
      <t>SALDO ANTERIOR</t>
    </r>
  </si>
  <si>
    <r>
      <rPr>
        <rFont val="Calibri"/>
        <b/>
        <color theme="1"/>
        <sz val="9.0"/>
      </rPr>
      <t>PAGOS</t>
    </r>
  </si>
  <si>
    <r>
      <rPr>
        <rFont val="Calibri"/>
        <b/>
        <color theme="1"/>
        <sz val="9.0"/>
      </rPr>
      <t>SALDO</t>
    </r>
  </si>
  <si>
    <t>fecha</t>
  </si>
  <si>
    <r>
      <rPr>
        <rFont val="Calibri"/>
        <b/>
        <color theme="1"/>
        <sz val="9.0"/>
      </rPr>
      <t>1°A - 356</t>
    </r>
  </si>
  <si>
    <r>
      <rPr>
        <rFont val="Calibri"/>
        <b/>
        <color theme="1"/>
        <sz val="9.0"/>
      </rPr>
      <t>SEVERINO</t>
    </r>
  </si>
  <si>
    <r>
      <rPr>
        <rFont val="Calibri"/>
        <color theme="1"/>
        <sz val="9.0"/>
      </rPr>
      <t>$          -</t>
    </r>
  </si>
  <si>
    <t>JIGENA MILAGROS</t>
  </si>
  <si>
    <r>
      <rPr>
        <rFont val="Calibri"/>
        <b/>
        <color theme="1"/>
        <sz val="9.0"/>
      </rPr>
      <t>1°C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</si>
  <si>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</si>
  <si>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</si>
  <si>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1°B - 356</t>
    </r>
  </si>
  <si>
    <r>
      <rPr>
        <rFont val="Calibri"/>
        <b/>
        <color theme="1"/>
        <sz val="9.0"/>
      </rPr>
      <t>ALVAREZ MARIA INES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</si>
  <si>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</si>
  <si>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1°A - 360</t>
    </r>
  </si>
  <si>
    <r>
      <rPr>
        <rFont val="Calibri"/>
        <b/>
        <color theme="1"/>
        <sz val="9.0"/>
      </rPr>
      <t>PERRI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</si>
  <si>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</si>
  <si>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1°C - 360</t>
    </r>
  </si>
  <si>
    <r>
      <rPr>
        <rFont val="Calibri"/>
        <b/>
        <color theme="1"/>
        <sz val="9.0"/>
      </rPr>
      <t>BONFANTI SANDRA</t>
    </r>
  </si>
  <si>
    <r>
      <rPr>
        <rFont val="Calibri"/>
        <color theme="1"/>
        <sz val="9.0"/>
      </rPr>
      <t>$          -</t>
    </r>
  </si>
  <si>
    <t>Transferencias sin identificar</t>
  </si>
  <si>
    <t>CON FACTURA</t>
  </si>
  <si>
    <r>
      <rPr>
        <rFont val="Calibri"/>
        <b/>
        <color theme="1"/>
        <sz val="9.0"/>
      </rPr>
      <t>1°B - 360</t>
    </r>
  </si>
  <si>
    <r>
      <rPr>
        <rFont val="Calibri"/>
        <b/>
        <color theme="1"/>
        <sz val="9.0"/>
      </rPr>
      <t>MAGLIOLO SILVIA</t>
    </r>
  </si>
  <si>
    <r>
      <rPr>
        <rFont val="Calibri"/>
        <color theme="1"/>
        <sz val="9.0"/>
      </rPr>
      <t>$          -</t>
    </r>
  </si>
  <si>
    <t>RODRIGUEZ OUTES, CAM</t>
  </si>
  <si>
    <t>LIQUIDADO DICIEMBRE</t>
  </si>
  <si>
    <r>
      <rPr>
        <rFont val="Calibri"/>
        <b/>
        <color theme="1"/>
        <sz val="9.0"/>
      </rPr>
      <t>2°A - 356</t>
    </r>
  </si>
  <si>
    <r>
      <rPr>
        <rFont val="Calibri"/>
        <b/>
        <color theme="1"/>
        <sz val="9.0"/>
      </rPr>
      <t>MALDAJAN</t>
    </r>
  </si>
  <si>
    <t>JUAN MANUEL FAGUNDEZ</t>
  </si>
  <si>
    <r>
      <rPr>
        <rFont val="Calibri"/>
        <b/>
        <color theme="1"/>
        <sz val="9.0"/>
      </rPr>
      <t>2°C - 356</t>
    </r>
  </si>
  <si>
    <r>
      <rPr>
        <rFont val="Calibri"/>
        <b/>
        <color theme="1"/>
        <sz val="9.0"/>
      </rPr>
      <t>CARROSO</t>
    </r>
  </si>
  <si>
    <r>
      <rPr>
        <rFont val="Calibri"/>
        <color theme="1"/>
        <sz val="9.0"/>
      </rPr>
      <t>$          -</t>
    </r>
  </si>
  <si>
    <t>COLL\SOFIA TRINIDAD</t>
  </si>
  <si>
    <r>
      <rPr>
        <rFont val="Calibri"/>
        <b/>
        <color theme="1"/>
        <sz val="9.0"/>
      </rPr>
      <t>2°B - 356</t>
    </r>
  </si>
  <si>
    <r>
      <rPr>
        <rFont val="Calibri"/>
        <b/>
        <color theme="1"/>
        <sz val="9.0"/>
      </rPr>
      <t>BLAUSTEIN</t>
    </r>
  </si>
  <si>
    <r>
      <rPr>
        <rFont val="Calibri"/>
        <color theme="1"/>
        <sz val="9.0"/>
      </rPr>
      <t>$          -</t>
    </r>
  </si>
  <si>
    <t>HORTIS WENDY</t>
  </si>
  <si>
    <t>DIFERENCIAS ENTRE LO LOQUIDADO Y LO REALMENTE ABONADO</t>
  </si>
  <si>
    <r>
      <rPr>
        <rFont val="Calibri"/>
        <b/>
        <color theme="1"/>
        <sz val="9.0"/>
      </rPr>
      <t>2°A - 360</t>
    </r>
  </si>
  <si>
    <r>
      <rPr>
        <rFont val="Calibri"/>
        <b/>
        <color theme="1"/>
        <sz val="9.0"/>
      </rPr>
      <t>LOPARDO</t>
    </r>
  </si>
  <si>
    <r>
      <rPr>
        <rFont val="Calibri"/>
        <color theme="1"/>
        <sz val="9.0"/>
      </rPr>
      <t>$          -</t>
    </r>
  </si>
  <si>
    <t>PAGO REALIZADO</t>
  </si>
  <si>
    <t>JUAN IGNACIO SAEZ GA</t>
  </si>
  <si>
    <t xml:space="preserve">EN LIQUIDACIÓN </t>
  </si>
  <si>
    <t>DIF</t>
  </si>
  <si>
    <t>OBSERVACION</t>
  </si>
  <si>
    <r>
      <rPr>
        <rFont val="Calibri"/>
        <b/>
        <color theme="1"/>
        <sz val="9.0"/>
      </rPr>
      <t>2°C - 360</t>
    </r>
  </si>
  <si>
    <r>
      <rPr>
        <rFont val="Calibri"/>
        <b/>
        <color theme="1"/>
        <sz val="9.0"/>
      </rPr>
      <t>MENA</t>
    </r>
  </si>
  <si>
    <t>SUELDO JUAN</t>
  </si>
  <si>
    <r>
      <rPr>
        <rFont val="Calibri"/>
        <color theme="1"/>
        <sz val="9.0"/>
      </rPr>
      <t>$          -</t>
    </r>
  </si>
  <si>
    <t>COMBER|DENISE</t>
  </si>
  <si>
    <r>
      <rPr>
        <rFont val="Calibri"/>
        <b/>
        <color theme="1"/>
        <sz val="9.0"/>
      </rPr>
      <t>2°B - 360</t>
    </r>
  </si>
  <si>
    <r>
      <rPr>
        <rFont val="Calibri"/>
        <b/>
        <color theme="1"/>
        <sz val="9.0"/>
      </rPr>
      <t>PUMA ROSA</t>
    </r>
  </si>
  <si>
    <r>
      <rPr>
        <rFont val="Calibri"/>
        <color theme="1"/>
        <sz val="9.0"/>
      </rPr>
      <t>$          -</t>
    </r>
  </si>
  <si>
    <t>ALFREDO JOAQUIN DI C</t>
  </si>
  <si>
    <t>IMPORTE DEVENGADO NO REAL (LIQUIDACION MES ANTERIOR $ 1,054,813.41)</t>
  </si>
  <si>
    <t>ROSA ANTONIA GUALLIN</t>
  </si>
  <si>
    <r>
      <rPr>
        <rFont val="Calibri"/>
        <b/>
        <color theme="1"/>
        <sz val="9.0"/>
      </rPr>
      <t>3°A - 356</t>
    </r>
  </si>
  <si>
    <r>
      <rPr>
        <rFont val="Calibri"/>
        <b/>
        <color theme="1"/>
        <sz val="9.0"/>
      </rPr>
      <t>GRIMM</t>
    </r>
  </si>
  <si>
    <r>
      <rPr>
        <rFont val="Calibri"/>
        <color theme="1"/>
        <sz val="9.0"/>
      </rPr>
      <t>$          -</t>
    </r>
  </si>
  <si>
    <t>SUELDO JAVIER</t>
  </si>
  <si>
    <t>RAIMUNDO ANTONIO CLE</t>
  </si>
  <si>
    <r>
      <rPr>
        <rFont val="Calibri"/>
        <b/>
        <color theme="1"/>
        <sz val="9.0"/>
      </rPr>
      <t>3°C - 356</t>
    </r>
  </si>
  <si>
    <r>
      <rPr>
        <rFont val="Calibri"/>
        <b/>
        <color theme="1"/>
        <sz val="9.0"/>
      </rPr>
      <t>GRIMM</t>
    </r>
  </si>
  <si>
    <t>IMPORTE DEVENGADO NO REAL (LIQUIDACION MES ANTERIOR $ 662,491.25) SE DEPOSITARON 20000 DE MAS</t>
  </si>
  <si>
    <t>SUELDO RAMIREZ</t>
  </si>
  <si>
    <t>AGUSTINA CASTRO ACEV</t>
  </si>
  <si>
    <t>IMPORTE DEVENGADO NO REAL (LIQUIDACION MES ANTERIOR $ 745,574.00) SE DEPOSITARON 58023 DE MENOS</t>
  </si>
  <si>
    <r>
      <rPr>
        <rFont val="Calibri"/>
        <b/>
        <color theme="1"/>
        <sz val="9.0"/>
      </rPr>
      <t>3°B - 356</t>
    </r>
  </si>
  <si>
    <r>
      <rPr>
        <rFont val="Calibri"/>
        <b/>
        <color theme="1"/>
        <sz val="9.0"/>
      </rPr>
      <t>FERNANDEZ</t>
    </r>
  </si>
  <si>
    <t>AGUINALDO  JUAN</t>
  </si>
  <si>
    <r>
      <rPr>
        <rFont val="Calibri"/>
        <color theme="1"/>
        <sz val="9.0"/>
      </rPr>
      <t>$          -</t>
    </r>
  </si>
  <si>
    <t>RIVAS CECILIA ALEJAN</t>
  </si>
  <si>
    <t>IMPORTE LIQUIDADO EN EL MES ANTERIOR CON PROVISION TOTAL MENOR AL REAL - AUNQUE EL PAGO CORRESPONDE LA RECAUDACION FUE MENOR</t>
  </si>
  <si>
    <r>
      <rPr>
        <rFont val="Calibri"/>
        <b/>
        <color theme="1"/>
        <sz val="9.0"/>
      </rPr>
      <t>3°A - 360</t>
    </r>
  </si>
  <si>
    <r>
      <rPr>
        <rFont val="Calibri"/>
        <b/>
        <color theme="1"/>
        <sz val="9.0"/>
      </rPr>
      <t>IANELLO</t>
    </r>
  </si>
  <si>
    <t>AGUINALDO JAVIER</t>
  </si>
  <si>
    <r>
      <rPr>
        <rFont val="Calibri"/>
        <color theme="1"/>
        <sz val="9.0"/>
      </rPr>
      <t>$          -</t>
    </r>
  </si>
  <si>
    <t>RAGAZZI SRL</t>
  </si>
  <si>
    <r>
      <rPr>
        <rFont val="Calibri"/>
        <b/>
        <color theme="1"/>
        <sz val="9.0"/>
      </rPr>
      <t>3°C - 360</t>
    </r>
  </si>
  <si>
    <r>
      <rPr>
        <rFont val="Calibri"/>
        <b/>
        <color theme="1"/>
        <sz val="9.0"/>
      </rPr>
      <t>MUSACCHIO</t>
    </r>
  </si>
  <si>
    <t>AGUINALDO RAMIREZ</t>
  </si>
  <si>
    <r>
      <rPr>
        <rFont val="Calibri"/>
        <color theme="1"/>
        <sz val="9.0"/>
      </rPr>
      <t>$          -</t>
    </r>
  </si>
  <si>
    <t>KURT ZIEGER</t>
  </si>
  <si>
    <t>CARGAS SOCIALES</t>
  </si>
  <si>
    <r>
      <rPr>
        <rFont val="Calibri"/>
        <b/>
        <color theme="1"/>
        <sz val="9.0"/>
      </rPr>
      <t>3°B - 360</t>
    </r>
  </si>
  <si>
    <r>
      <rPr>
        <rFont val="Calibri"/>
        <b/>
        <color theme="1"/>
        <sz val="9.0"/>
      </rPr>
      <t>ROMBOUTS DIETER</t>
    </r>
  </si>
  <si>
    <r>
      <rPr>
        <rFont val="Calibri"/>
        <color theme="1"/>
        <sz val="9.0"/>
      </rPr>
      <t>$          -</t>
    </r>
  </si>
  <si>
    <t>PERALTA NATALIA VANE</t>
  </si>
  <si>
    <t>IMPORTE DEVENGADO NO REAL (LIQUIDACION MES ANTERIOR $ 1,546,772.50)</t>
  </si>
  <si>
    <r>
      <rPr>
        <rFont val="Calibri"/>
        <b/>
        <color theme="1"/>
        <sz val="9.0"/>
      </rPr>
      <t>4°A - 356</t>
    </r>
  </si>
  <si>
    <r>
      <rPr>
        <rFont val="Calibri"/>
        <b/>
        <color theme="1"/>
        <sz val="9.0"/>
      </rPr>
      <t>RIONEGRO CARLOS ALBERTO</t>
    </r>
  </si>
  <si>
    <r>
      <rPr>
        <rFont val="Calibri"/>
        <color rgb="FFFF0000"/>
        <sz val="9.0"/>
      </rPr>
      <t>$          -</t>
    </r>
  </si>
  <si>
    <t>IMPORTE DEVENGADO NO REAL (LIQUIDACION MES ANTERIOR CON COMPROBANTES EN EL MES ANTERIOR)</t>
  </si>
  <si>
    <r>
      <rPr>
        <rFont val="Calibri"/>
        <b/>
        <color theme="1"/>
        <sz val="9.0"/>
      </rPr>
      <t>4°C - 356</t>
    </r>
  </si>
  <si>
    <r>
      <rPr>
        <rFont val="Calibri"/>
        <b/>
        <color theme="1"/>
        <sz val="9.0"/>
      </rPr>
      <t>GIANOLA</t>
    </r>
  </si>
  <si>
    <r>
      <rPr>
        <rFont val="Calibri"/>
        <color theme="1"/>
        <sz val="9.0"/>
      </rPr>
      <t>$          -</t>
    </r>
  </si>
  <si>
    <t>JONTE LUCAS MARTIN</t>
  </si>
  <si>
    <r>
      <rPr>
        <rFont val="Calibri"/>
        <b/>
        <color theme="1"/>
        <sz val="9.0"/>
      </rPr>
      <t>4°B - 356</t>
    </r>
  </si>
  <si>
    <r>
      <rPr>
        <rFont val="Calibri"/>
        <b/>
        <color theme="1"/>
        <sz val="9.0"/>
      </rPr>
      <t>FRANCO</t>
    </r>
  </si>
  <si>
    <r>
      <rPr>
        <rFont val="Calibri"/>
        <color rgb="FFFF0000"/>
        <sz val="9.0"/>
      </rPr>
      <t>$          -</t>
    </r>
  </si>
  <si>
    <t>CESAR DAVID SAMANIEG</t>
  </si>
  <si>
    <t>LA UNION E HIJOS SRL</t>
  </si>
  <si>
    <t>COMPRA DE PINTURA CUOATA 01/02</t>
  </si>
  <si>
    <r>
      <rPr>
        <rFont val="Calibri"/>
        <b/>
        <color theme="1"/>
        <sz val="9.0"/>
      </rPr>
      <t>4°A - 360</t>
    </r>
  </si>
  <si>
    <r>
      <rPr>
        <rFont val="Calibri"/>
        <b/>
        <color theme="1"/>
        <sz val="9.0"/>
      </rPr>
      <t>DOMINGUEZ OSVALDO</t>
    </r>
  </si>
  <si>
    <t>SE LIQUIDO UN GASTO EXTRAORDINARIO MUY SUPERIOR A LO FINALMENTE FACTURADO Y ESTA RECAUDACIÓN NO FUE INCLUIDA EN EL RESUMEN DE FDR QUE IBAN DESTINADOS A PINTURA, MIENTRAS QUE LOS GASTOS SI ESTAN DETALLADOS.</t>
  </si>
  <si>
    <r>
      <rPr>
        <rFont val="Calibri"/>
        <color theme="1"/>
        <sz val="9.0"/>
      </rPr>
      <t>$          -</t>
    </r>
  </si>
  <si>
    <t>CLEANNIG SERVICE - MATERIALES DE LIMPIEZA</t>
  </si>
  <si>
    <r>
      <rPr>
        <rFont val="Calibri"/>
        <b/>
        <color theme="1"/>
        <sz val="9.0"/>
      </rPr>
      <t>4°C - 360</t>
    </r>
  </si>
  <si>
    <r>
      <rPr>
        <rFont val="Calibri"/>
        <b/>
        <color theme="1"/>
        <sz val="9.0"/>
      </rPr>
      <t>CALANDRA</t>
    </r>
  </si>
  <si>
    <t>SEGUN ESTO SE ABONO POR MENOS, AUNQUE EL COMPROBANTE NO ES VÁLIDO COMO FACTURA. TENEMOS LA FACTURA?</t>
  </si>
  <si>
    <r>
      <rPr>
        <rFont val="Calibri"/>
        <color theme="1"/>
        <sz val="9.0"/>
      </rPr>
      <t>$          -</t>
    </r>
  </si>
  <si>
    <t>SEGURIDAD NOVIEMBRE 2025 FACTURA N° 00002-0044</t>
  </si>
  <si>
    <t>SILVIA ALICIA CASTRO</t>
  </si>
  <si>
    <r>
      <rPr>
        <rFont val="Calibri"/>
        <b/>
        <color theme="1"/>
        <sz val="9.0"/>
      </rPr>
      <t>4°B - 360</t>
    </r>
  </si>
  <si>
    <r>
      <rPr>
        <rFont val="Calibri"/>
        <b/>
        <color theme="1"/>
        <sz val="9.0"/>
      </rPr>
      <t>TAKEDA LAURA NANCY</t>
    </r>
  </si>
  <si>
    <r>
      <rPr>
        <rFont val="Calibri"/>
        <color theme="1"/>
        <sz val="9.0"/>
      </rPr>
      <t>$          -</t>
    </r>
  </si>
  <si>
    <t>LIQUIDADO SIN PAGO REGISTRADO EN CUENTA</t>
  </si>
  <si>
    <r>
      <rPr>
        <rFont val="Calibri"/>
        <b/>
        <color theme="1"/>
        <sz val="9.0"/>
      </rPr>
      <t>5°A - 356</t>
    </r>
  </si>
  <si>
    <r>
      <rPr>
        <rFont val="Calibri"/>
        <b/>
        <color theme="1"/>
        <sz val="9.0"/>
      </rPr>
      <t>SUAREZ PATRICIO</t>
    </r>
  </si>
  <si>
    <r>
      <rPr>
        <rFont val="Calibri"/>
        <color theme="1"/>
        <sz val="9.0"/>
      </rPr>
      <t>$          -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</si>
  <si>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</si>
  <si>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COMBUSTIBLE FACT Nro 00011-53269</t>
    </r>
  </si>
  <si>
    <t>COMPROBANTE CON FECHA 14/10 21:25</t>
  </si>
  <si>
    <r>
      <rPr>
        <rFont val="Calibri"/>
        <b/>
        <color theme="1"/>
        <sz val="9.0"/>
      </rPr>
      <t>5°C - 356</t>
    </r>
  </si>
  <si>
    <r>
      <rPr>
        <rFont val="Calibri"/>
        <b/>
        <color theme="1"/>
        <sz val="9.0"/>
      </rPr>
      <t>LANATI</t>
    </r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</si>
  <si>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</si>
  <si>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COMBUTIBLR FACT.Nro 0001-53270</t>
    </r>
  </si>
  <si>
    <t>COMPROBANTE CON FECHA 14/10 21:27</t>
  </si>
  <si>
    <t>ASCENSORES GUILLEMI</t>
  </si>
  <si>
    <t>Mantenimiento ascensores DICIEMBRE</t>
  </si>
  <si>
    <t>FACTURA DE 120000 FECHA 5/1</t>
  </si>
  <si>
    <t>FOTOCOPIAS DE EXPENSAS NOVIEMBRE</t>
  </si>
  <si>
    <t>SIN COMPROBANTE</t>
  </si>
  <si>
    <t>SAUL JAVIER MILLAN A</t>
  </si>
  <si>
    <t>PAGO REGISTRADOS QUE NO FIGURAN EN ESTRACTO Y SI CONSIDERA LA ADMINISTRACIÓN</t>
  </si>
  <si>
    <r>
      <rPr>
        <rFont val="Calibri"/>
        <b/>
        <color theme="1"/>
        <sz val="9.0"/>
      </rPr>
      <t>5°B - 356</t>
    </r>
  </si>
  <si>
    <r>
      <rPr>
        <rFont val="Calibri"/>
        <b/>
        <color theme="1"/>
        <sz val="9.0"/>
      </rPr>
      <t>NIBALI AGUSTINA DENISE</t>
    </r>
  </si>
  <si>
    <t>CALOGNE RICARDO</t>
  </si>
  <si>
    <t>9°A - 356</t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</si>
  <si>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</si>
  <si>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5°A - 360</t>
    </r>
  </si>
  <si>
    <r>
      <rPr>
        <rFont val="Calibri"/>
        <b/>
        <color theme="1"/>
        <sz val="9.0"/>
      </rPr>
      <t>FLOLASCO SILVINA</t>
    </r>
  </si>
  <si>
    <t>GASTOS NO LIQUIDADOS QUE FUERON DEBITADOS DE CUENTA</t>
  </si>
  <si>
    <r>
      <rPr>
        <rFont val="Calibri"/>
        <color theme="1"/>
        <sz val="9.0"/>
      </rPr>
      <t>$          -</t>
    </r>
  </si>
  <si>
    <t>RAFAEL MOREL ROMAN</t>
  </si>
  <si>
    <r>
      <rPr>
        <rFont val="Calibri"/>
        <b/>
        <color theme="1"/>
        <sz val="9.0"/>
      </rPr>
      <t>5°C - 360</t>
    </r>
  </si>
  <si>
    <t>CON RECIBI FECHA 5/12</t>
  </si>
  <si>
    <t>PUESTO EN ESE RESUMEN DE FDR MAL COMPUTADO</t>
  </si>
  <si>
    <r>
      <rPr>
        <rFont val="Calibri"/>
        <b/>
        <color theme="1"/>
        <sz val="9.0"/>
      </rPr>
      <t>PUMAR RICARDO</t>
    </r>
  </si>
  <si>
    <t>LUIS DE LA PAS PAVON</t>
  </si>
  <si>
    <r>
      <rPr>
        <rFont val="Calibri"/>
        <color theme="1"/>
        <sz val="9.0"/>
      </rPr>
      <t>$          -</t>
    </r>
  </si>
  <si>
    <t>SIN NINGUN COMPROBANTE EN ESTE MES</t>
  </si>
  <si>
    <t>ENTIENDO QUE PAGARON LA DIFERENCIA LIQUIDADA EL MES PASADO EN ESTE MES SALDANDO EL ERROR MARCADO EL MES ANTERIOR</t>
  </si>
  <si>
    <r>
      <rPr>
        <rFont val="Calibri"/>
        <b/>
        <color theme="1"/>
        <sz val="9.0"/>
      </rPr>
      <t>5°B - 360</t>
    </r>
  </si>
  <si>
    <r>
      <rPr>
        <rFont val="Calibri"/>
        <b/>
        <color theme="1"/>
        <sz val="9.0"/>
      </rPr>
      <t>JAIMES MARISA</t>
    </r>
  </si>
  <si>
    <t>CON RECIBI FECHA 12/12</t>
  </si>
  <si>
    <r>
      <rPr>
        <rFont val="Calibri"/>
        <color theme="1"/>
        <sz val="9.0"/>
      </rPr>
      <t>$          -</t>
    </r>
  </si>
  <si>
    <t>CON RECIBI FECHA 18/12</t>
  </si>
  <si>
    <r>
      <rPr>
        <rFont val="Calibri"/>
        <b/>
        <color theme="1"/>
        <sz val="9.0"/>
      </rPr>
      <t>6°A - 356</t>
    </r>
  </si>
  <si>
    <r>
      <rPr>
        <rFont val="Calibri"/>
        <b/>
        <color theme="1"/>
        <sz val="9.0"/>
      </rPr>
      <t>FIORENZA</t>
    </r>
  </si>
  <si>
    <t>CON RECIBI FECHA 29/12</t>
  </si>
  <si>
    <r>
      <rPr>
        <rFont val="Calibri"/>
        <color theme="1"/>
        <sz val="9.0"/>
      </rPr>
      <t>$          -</t>
    </r>
  </si>
  <si>
    <t>UNICO PAGO DE 597434</t>
  </si>
  <si>
    <r>
      <rPr>
        <rFont val="Calibri"/>
        <b/>
        <color theme="1"/>
        <sz val="9.0"/>
      </rPr>
      <t>6°C - 356</t>
    </r>
  </si>
  <si>
    <r>
      <rPr>
        <rFont val="Calibri"/>
        <b/>
        <color theme="1"/>
        <sz val="9.0"/>
      </rPr>
      <t>JUIZ K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</si>
  <si>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</si>
  <si>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6°B - 356</t>
    </r>
  </si>
  <si>
    <r>
      <rPr>
        <rFont val="Calibri"/>
        <b/>
        <color theme="1"/>
        <sz val="9.0"/>
      </rPr>
      <t>DELGADO</t>
    </r>
  </si>
  <si>
    <r>
      <rPr>
        <rFont val="Calibri"/>
        <color theme="1"/>
        <sz val="9.0"/>
      </rPr>
      <t>$          -</t>
    </r>
  </si>
  <si>
    <t>ROSSI, GISELLE ANALIA</t>
  </si>
  <si>
    <r>
      <rPr>
        <rFont val="Calibri"/>
        <b/>
        <color theme="1"/>
        <sz val="9.0"/>
      </rPr>
      <t>6°A - 360</t>
    </r>
  </si>
  <si>
    <r>
      <rPr>
        <rFont val="Calibri"/>
        <b/>
        <color theme="1"/>
        <sz val="9.0"/>
      </rPr>
      <t>IGLESIAS</t>
    </r>
  </si>
  <si>
    <t>MATIAS JULIAN VERA</t>
  </si>
  <si>
    <t>INGRESO EXP OCT</t>
  </si>
  <si>
    <r>
      <rPr>
        <rFont val="Calibri"/>
        <b/>
        <color theme="1"/>
        <sz val="9.0"/>
      </rPr>
      <t>6°C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</si>
  <si>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</si>
  <si>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 -</t>
    </r>
  </si>
  <si>
    <r>
      <rPr>
        <rFont val="Calibri"/>
        <b/>
        <color theme="1"/>
        <sz val="9.0"/>
      </rPr>
      <t>6°B - 360</t>
    </r>
  </si>
  <si>
    <r>
      <rPr>
        <rFont val="Calibri"/>
        <b/>
        <color theme="1"/>
        <sz val="9.0"/>
      </rPr>
      <t>GIANCASPRO</t>
    </r>
  </si>
  <si>
    <r>
      <rPr>
        <rFont val="Calibri"/>
        <color theme="1"/>
        <sz val="9.0"/>
      </rPr>
      <t>$         -</t>
    </r>
  </si>
  <si>
    <t>GARCIA MISA CAMILA</t>
  </si>
  <si>
    <r>
      <rPr>
        <rFont val="Calibri"/>
        <b/>
        <color theme="1"/>
        <sz val="9.0"/>
      </rPr>
      <t>7°A - 356</t>
    </r>
  </si>
  <si>
    <r>
      <rPr>
        <rFont val="Calibri"/>
        <b/>
        <color theme="1"/>
        <sz val="9.0"/>
      </rPr>
      <t>FIORENZA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</si>
  <si>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</si>
  <si>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7°C - 356</t>
    </r>
  </si>
  <si>
    <r>
      <rPr>
        <rFont val="Calibri"/>
        <b/>
        <color theme="1"/>
        <sz val="9.0"/>
      </rPr>
      <t>ANTON RICARDO ENRIQUE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</si>
  <si>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</si>
  <si>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7°B - 356</t>
    </r>
  </si>
  <si>
    <r>
      <rPr>
        <rFont val="Calibri"/>
        <b/>
        <color theme="1"/>
        <sz val="9.0"/>
      </rPr>
      <t>FRANQUEIRA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</si>
  <si>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</si>
  <si>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7°A - 360</t>
    </r>
  </si>
  <si>
    <r>
      <rPr>
        <rFont val="Calibri"/>
        <b/>
        <color theme="1"/>
        <sz val="9.0"/>
      </rPr>
      <t>BAL MARICEL</t>
    </r>
  </si>
  <si>
    <r>
      <rPr>
        <rFont val="Calibri"/>
        <color rgb="FFFF0000"/>
        <sz val="9.0"/>
      </rPr>
      <t>$         -</t>
    </r>
  </si>
  <si>
    <t>BORGONONI ERICA N</t>
  </si>
  <si>
    <r>
      <rPr>
        <rFont val="Calibri"/>
        <b/>
        <color theme="1"/>
        <sz val="9.0"/>
      </rPr>
      <t>7°C - 360</t>
    </r>
  </si>
  <si>
    <r>
      <rPr>
        <rFont val="Calibri"/>
        <b/>
        <color theme="1"/>
        <sz val="9.0"/>
      </rPr>
      <t>CASTRO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</si>
  <si>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</si>
  <si>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7°B - 360</t>
    </r>
  </si>
  <si>
    <r>
      <rPr>
        <rFont val="Calibri"/>
        <b/>
        <color theme="1"/>
        <sz val="9.0"/>
      </rPr>
      <t>DEL RIO ANDREA</t>
    </r>
  </si>
  <si>
    <r>
      <rPr>
        <rFont val="Calibri"/>
        <color theme="1"/>
        <sz val="9.0"/>
      </rPr>
      <t>$         -</t>
    </r>
  </si>
  <si>
    <t>RAGUSA LEONARDO M</t>
  </si>
  <si>
    <r>
      <rPr>
        <rFont val="Calibri"/>
        <b/>
        <color theme="1"/>
        <sz val="9.0"/>
      </rPr>
      <t>8°A - 356</t>
    </r>
  </si>
  <si>
    <r>
      <rPr>
        <rFont val="Calibri"/>
        <b/>
        <color theme="1"/>
        <sz val="9.0"/>
      </rPr>
      <t>SIMON PABLO</t>
    </r>
  </si>
  <si>
    <r>
      <rPr>
        <rFont val="Calibri"/>
        <color theme="1"/>
        <sz val="9.0"/>
      </rPr>
      <t>-$</t>
    </r>
  </si>
  <si>
    <t>PABLO MAXIMILIANO SI</t>
  </si>
  <si>
    <r>
      <rPr>
        <rFont val="Calibri"/>
        <b/>
        <color theme="1"/>
        <sz val="9.0"/>
      </rPr>
      <t>8°C - 356</t>
    </r>
  </si>
  <si>
    <r>
      <rPr>
        <rFont val="Calibri"/>
        <b/>
        <color theme="1"/>
        <sz val="9.0"/>
      </rPr>
      <t>RAAD J. F.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</si>
  <si>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</si>
  <si>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8°B - 356</t>
    </r>
  </si>
  <si>
    <r>
      <rPr>
        <rFont val="Calibri"/>
        <b/>
        <color theme="1"/>
        <sz val="9.0"/>
      </rPr>
      <t>PONZIO FACUNDO TOMAS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</si>
  <si>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</si>
  <si>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8°A - 360</t>
    </r>
  </si>
  <si>
    <r>
      <rPr>
        <rFont val="Calibri"/>
        <b/>
        <color theme="1"/>
        <sz val="9.0"/>
      </rPr>
      <t>DURRUTY - VAZQUEZ</t>
    </r>
  </si>
  <si>
    <r>
      <rPr>
        <rFont val="Calibri"/>
        <color theme="1"/>
        <sz val="9.0"/>
      </rPr>
      <t>$         -</t>
    </r>
  </si>
  <si>
    <t>SUAREZ KAREN VALERIA</t>
  </si>
  <si>
    <r>
      <rPr>
        <rFont val="Calibri"/>
        <b/>
        <color theme="1"/>
        <sz val="9.0"/>
      </rPr>
      <t>8°C - 360</t>
    </r>
  </si>
  <si>
    <r>
      <rPr>
        <rFont val="Calibri"/>
        <b/>
        <color theme="1"/>
        <sz val="9.0"/>
      </rPr>
      <t>CICCONE-ROSSI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</si>
  <si>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</si>
  <si>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8°B - 360</t>
    </r>
  </si>
  <si>
    <r>
      <rPr>
        <rFont val="Calibri"/>
        <b/>
        <color theme="1"/>
        <sz val="9.0"/>
      </rPr>
      <t>MALLAMACE MARTA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</si>
  <si>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</si>
  <si>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9°A - 356</t>
    </r>
  </si>
  <si>
    <r>
      <rPr>
        <rFont val="Calibri"/>
        <b/>
        <color theme="1"/>
        <sz val="9.0"/>
      </rPr>
      <t>CALONGE RICARDO</t>
    </r>
  </si>
  <si>
    <r>
      <rPr>
        <rFont val="Calibri"/>
        <color theme="1"/>
        <sz val="9.0"/>
      </rPr>
      <t>-$</t>
    </r>
  </si>
  <si>
    <t>MIRTA LILIANA CHAS</t>
  </si>
  <si>
    <r>
      <rPr>
        <rFont val="Calibri"/>
        <b/>
        <color theme="1"/>
        <sz val="9.0"/>
      </rPr>
      <t>9°B - 356</t>
    </r>
  </si>
  <si>
    <r>
      <rPr>
        <rFont val="Calibri"/>
        <b/>
        <color theme="1"/>
        <sz val="9.0"/>
      </rPr>
      <t>TOSAR</t>
    </r>
  </si>
  <si>
    <r>
      <rPr>
        <rFont val="Calibri"/>
        <color theme="1"/>
        <sz val="9.0"/>
      </rPr>
      <t>$         -</t>
    </r>
  </si>
  <si>
    <t>FEDERICO MAXIMILIANO</t>
  </si>
  <si>
    <r>
      <rPr>
        <rFont val="Calibri"/>
        <b/>
        <color theme="1"/>
        <sz val="9.0"/>
      </rPr>
      <t>9°A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</si>
  <si>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</si>
  <si>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-$</t>
    </r>
  </si>
  <si>
    <t>DEP EFO +. SILVESTRE LUIS</t>
  </si>
  <si>
    <r>
      <rPr>
        <rFont val="Calibri"/>
        <b/>
        <color theme="1"/>
        <sz val="9.0"/>
      </rPr>
      <t>9°B - 360</t>
    </r>
  </si>
  <si>
    <r>
      <rPr>
        <rFont val="Calibri"/>
        <b/>
        <color theme="1"/>
        <sz val="9.0"/>
      </rPr>
      <t>FAPSA</t>
    </r>
  </si>
  <si>
    <r>
      <rPr>
        <rFont val="Calibri"/>
        <color theme="1"/>
        <sz val="9.0"/>
      </rPr>
      <t>$         -</t>
    </r>
  </si>
  <si>
    <t>MARIA MIRTHA BERRET</t>
  </si>
  <si>
    <r>
      <rPr>
        <rFont val="Calibri"/>
        <b/>
        <color theme="1"/>
        <sz val="9.0"/>
      </rPr>
      <t>10°A - 356</t>
    </r>
  </si>
  <si>
    <r>
      <rPr>
        <rFont val="Calibri"/>
        <b/>
        <color theme="1"/>
        <sz val="9.0"/>
      </rPr>
      <t>RICCI - ROLDAN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</si>
  <si>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</si>
  <si>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10°B - 356</t>
    </r>
  </si>
  <si>
    <r>
      <rPr>
        <rFont val="Calibri"/>
        <b/>
        <color theme="1"/>
        <sz val="9.0"/>
      </rPr>
      <t>PRIMAVERA</t>
    </r>
  </si>
  <si>
    <r>
      <rPr>
        <rFont val="Calibri"/>
        <color rgb="FFFF0000"/>
        <sz val="9.0"/>
      </rPr>
      <t>$         -</t>
    </r>
  </si>
  <si>
    <t>POLISZCZUK SOFIA AYE</t>
  </si>
  <si>
    <r>
      <rPr>
        <rFont val="Calibri"/>
        <b/>
        <color theme="1"/>
        <sz val="9.0"/>
      </rPr>
      <t>10°A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</si>
  <si>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</si>
  <si>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</si>
  <si>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10°B - 360</t>
    </r>
  </si>
  <si>
    <r>
      <rPr>
        <rFont val="Calibri"/>
        <b/>
        <color theme="1"/>
        <sz val="9.0"/>
      </rPr>
      <t>GINES DEBORA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</si>
  <si>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</si>
  <si>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11°A - 356</t>
    </r>
  </si>
  <si>
    <r>
      <rPr>
        <rFont val="Calibri"/>
        <b/>
        <color theme="1"/>
        <sz val="9.0"/>
      </rPr>
      <t>ASSETTA ANA MARIA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</si>
  <si>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</si>
  <si>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11°B - 356</t>
    </r>
  </si>
  <si>
    <r>
      <rPr>
        <rFont val="Calibri"/>
        <b/>
        <color theme="1"/>
        <sz val="9.0"/>
      </rPr>
      <t>PRIMAVERA</t>
    </r>
  </si>
  <si>
    <r>
      <rPr>
        <rFont val="Calibri"/>
        <color theme="1"/>
        <sz val="9.0"/>
      </rPr>
      <t>$         -</t>
    </r>
  </si>
  <si>
    <t>LUCAS LATRONICO</t>
  </si>
  <si>
    <r>
      <rPr>
        <rFont val="Calibri"/>
        <b/>
        <color theme="1"/>
        <sz val="9.0"/>
      </rPr>
      <t>11°A - 360</t>
    </r>
  </si>
  <si>
    <r>
      <rPr>
        <rFont val="Calibri"/>
        <b/>
        <color theme="1"/>
        <sz val="9.0"/>
      </rPr>
      <t>MARTYNIUK</t>
    </r>
  </si>
  <si>
    <r>
      <rPr>
        <rFont val="Calibri"/>
        <color theme="1"/>
        <sz val="9.0"/>
      </rPr>
      <t>$         -</t>
    </r>
  </si>
  <si>
    <t>JENNIFER SOLANGE BRE</t>
  </si>
  <si>
    <r>
      <rPr>
        <rFont val="Calibri"/>
        <b/>
        <color theme="1"/>
        <sz val="9.0"/>
      </rPr>
      <t>11°B - 360</t>
    </r>
  </si>
  <si>
    <r>
      <rPr>
        <rFont val="Calibri"/>
        <b/>
        <color theme="1"/>
        <sz val="9.0"/>
      </rPr>
      <t>VILLAR</t>
    </r>
  </si>
  <si>
    <t>FUSITO DRAGUI TATIAN</t>
  </si>
  <si>
    <r>
      <rPr>
        <rFont val="Calibri"/>
        <b/>
        <color theme="1"/>
        <sz val="9.0"/>
      </rPr>
      <t>12°A - 356</t>
    </r>
  </si>
  <si>
    <r>
      <rPr>
        <rFont val="Calibri"/>
        <b/>
        <color theme="1"/>
        <sz val="9.0"/>
      </rPr>
      <t>FERNANDEZ</t>
    </r>
  </si>
  <si>
    <r>
      <rPr>
        <rFont val="Calibri"/>
        <color theme="1"/>
        <sz val="9.0"/>
      </rPr>
      <t>$         -</t>
    </r>
  </si>
  <si>
    <t>DALESIO MONICA BEATR</t>
  </si>
  <si>
    <r>
      <rPr>
        <rFont val="Calibri"/>
        <b/>
        <color theme="1"/>
        <sz val="9.0"/>
      </rPr>
      <t>12°B - 356</t>
    </r>
  </si>
  <si>
    <r>
      <rPr>
        <rFont val="Calibri"/>
        <b/>
        <color theme="1"/>
        <sz val="9.0"/>
      </rPr>
      <t>LAGANA OSCAR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</si>
  <si>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</si>
  <si>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12°A - 360</t>
    </r>
  </si>
  <si>
    <r>
      <rPr>
        <rFont val="Calibri"/>
        <b/>
        <color theme="1"/>
        <sz val="9.0"/>
      </rPr>
      <t>VILELA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</si>
  <si>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</si>
  <si>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12°B - 360</t>
    </r>
  </si>
  <si>
    <r>
      <rPr>
        <rFont val="Calibri"/>
        <b/>
        <color theme="1"/>
        <sz val="9.0"/>
      </rPr>
      <t>MARTINIELLO</t>
    </r>
  </si>
  <si>
    <r>
      <rPr>
        <rFont val="Calibri"/>
        <color theme="1"/>
        <sz val="9.0"/>
      </rPr>
      <t>$         -</t>
    </r>
  </si>
  <si>
    <t>NOBILE NURIA</t>
  </si>
  <si>
    <r>
      <rPr>
        <rFont val="Calibri"/>
        <b/>
        <color theme="1"/>
        <sz val="9.0"/>
      </rPr>
      <t>13°A - 356</t>
    </r>
  </si>
  <si>
    <r>
      <rPr>
        <rFont val="Calibri"/>
        <b/>
        <color theme="1"/>
        <sz val="9.0"/>
      </rPr>
      <t>GAVELINI FEDERICO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</si>
  <si>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</si>
  <si>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- 356</t>
    </r>
  </si>
  <si>
    <r>
      <rPr>
        <rFont val="Calibri"/>
        <b/>
        <color theme="1"/>
        <sz val="9.0"/>
      </rPr>
      <t>SEDAME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</si>
  <si>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</si>
  <si>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13°A - 360</t>
    </r>
  </si>
  <si>
    <r>
      <rPr>
        <rFont val="Calibri"/>
        <b/>
        <color theme="1"/>
        <sz val="9.0"/>
      </rPr>
      <t>BRUNO SANDRA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</si>
  <si>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</si>
  <si>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13°B - 360</t>
    </r>
  </si>
  <si>
    <r>
      <rPr>
        <rFont val="Calibri"/>
        <b/>
        <color theme="1"/>
        <sz val="9.0"/>
      </rPr>
      <t>QUENARDELLE</t>
    </r>
  </si>
  <si>
    <r>
      <rPr>
        <rFont val="Calibri"/>
        <color theme="1"/>
        <sz val="9.0"/>
      </rPr>
      <t>$         -</t>
    </r>
  </si>
  <si>
    <t>MARI, DIEGO DANIEL</t>
  </si>
  <si>
    <r>
      <rPr>
        <rFont val="Calibri"/>
        <b/>
        <color theme="1"/>
        <sz val="9.0"/>
      </rPr>
      <t>14°A - 356</t>
    </r>
  </si>
  <si>
    <r>
      <rPr>
        <rFont val="Calibri"/>
        <b/>
        <color theme="1"/>
        <sz val="9.0"/>
      </rPr>
      <t>VELAYOS CELINA</t>
    </r>
  </si>
  <si>
    <r>
      <rPr>
        <rFont val="Calibri"/>
        <color theme="1"/>
        <sz val="9.0"/>
      </rPr>
      <t>$         -</t>
    </r>
  </si>
  <si>
    <r>
      <rPr>
        <rFont val="Calibri"/>
        <b/>
        <color theme="1"/>
        <sz val="9.0"/>
      </rPr>
      <t>14°A - 360</t>
    </r>
  </si>
  <si>
    <r>
      <rPr>
        <rFont val="Calibri"/>
        <b/>
        <color theme="1"/>
        <sz val="9.0"/>
      </rPr>
      <t>STEVEN PUTZ</t>
    </r>
  </si>
  <si>
    <r>
      <rPr>
        <rFont val="Calibri"/>
        <color theme="1"/>
        <sz val="9.0"/>
      </rPr>
      <t>$         -</t>
    </r>
  </si>
  <si>
    <t>RODRIGUEZ CARDENAS</t>
  </si>
  <si>
    <r>
      <rPr>
        <rFont val="Calibri"/>
        <b/>
        <color theme="1"/>
        <sz val="9.0"/>
      </rPr>
      <t>TOTALES</t>
    </r>
  </si>
  <si>
    <r>
      <rPr>
        <rFont val="Calibri"/>
        <b/>
        <color theme="1"/>
        <sz val="10.0"/>
      </rPr>
      <t>Estado de propietarios morosos</t>
    </r>
  </si>
  <si>
    <r>
      <rPr>
        <rFont val="Calibri"/>
        <b/>
        <color theme="1"/>
        <sz val="9.0"/>
      </rPr>
      <t>UF</t>
    </r>
  </si>
  <si>
    <r>
      <rPr>
        <rFont val="Calibri"/>
        <b/>
        <color theme="1"/>
        <sz val="9.0"/>
      </rPr>
      <t>DEPTO</t>
    </r>
  </si>
  <si>
    <r>
      <rPr>
        <rFont val="Calibri"/>
        <b/>
        <color theme="1"/>
        <sz val="9.0"/>
      </rPr>
      <t>CONSORCISTA</t>
    </r>
  </si>
  <si>
    <r>
      <rPr>
        <rFont val="Calibri"/>
        <b/>
        <color theme="1"/>
        <sz val="9.0"/>
      </rPr>
      <t>DEUDA</t>
    </r>
  </si>
  <si>
    <r>
      <rPr>
        <rFont val="Calibri"/>
        <b/>
        <color theme="1"/>
        <sz val="9.0"/>
      </rPr>
      <t>2°A - 356</t>
    </r>
  </si>
  <si>
    <r>
      <rPr>
        <rFont val="Calibri"/>
        <b/>
        <color theme="1"/>
        <sz val="9.0"/>
      </rPr>
      <t>MALDAJAN</t>
    </r>
  </si>
  <si>
    <r>
      <rPr>
        <rFont val="Calibri"/>
        <b/>
        <color theme="1"/>
        <sz val="9.0"/>
      </rPr>
      <t>3°C - 356</t>
    </r>
  </si>
  <si>
    <r>
      <rPr>
        <rFont val="Calibri"/>
        <b/>
        <color theme="1"/>
        <sz val="9.0"/>
      </rPr>
      <t>GRIMM</t>
    </r>
  </si>
  <si>
    <r>
      <rPr>
        <rFont val="Calibri"/>
        <b/>
        <color theme="1"/>
        <sz val="9.0"/>
      </rPr>
      <t>3°C - 360</t>
    </r>
  </si>
  <si>
    <r>
      <rPr>
        <rFont val="Calibri"/>
        <b/>
        <color theme="1"/>
        <sz val="9.0"/>
      </rPr>
      <t>MUSACCHIO</t>
    </r>
  </si>
  <si>
    <r>
      <rPr>
        <rFont val="Calibri"/>
        <b/>
        <color theme="1"/>
        <sz val="9.0"/>
      </rPr>
      <t>7°C - 360</t>
    </r>
  </si>
  <si>
    <r>
      <rPr>
        <rFont val="Calibri"/>
        <b/>
        <color theme="1"/>
        <sz val="9.0"/>
      </rPr>
      <t>CASTRO</t>
    </r>
  </si>
  <si>
    <r>
      <rPr>
        <rFont val="Calibri"/>
        <b/>
        <color theme="1"/>
        <sz val="9.0"/>
      </rPr>
      <t>8°C - 360</t>
    </r>
  </si>
  <si>
    <r>
      <rPr>
        <rFont val="Calibri"/>
        <b/>
        <color theme="1"/>
        <sz val="9.0"/>
      </rPr>
      <t>CICCONE-ROSSI</t>
    </r>
  </si>
  <si>
    <r>
      <rPr>
        <rFont val="Calibri"/>
        <b/>
        <color theme="1"/>
        <sz val="9.0"/>
      </rPr>
      <t>11°B - 360</t>
    </r>
  </si>
  <si>
    <r>
      <rPr>
        <rFont val="Calibri"/>
        <b/>
        <color theme="1"/>
        <sz val="9.0"/>
      </rPr>
      <t>VILLAR</t>
    </r>
  </si>
  <si>
    <r>
      <rPr>
        <rFont val="Calibri"/>
        <b/>
        <color theme="1"/>
        <sz val="9.0"/>
      </rPr>
      <t>TOTAL</t>
    </r>
  </si>
  <si>
    <t>GASTOS ORDINARIOS DEL PERÍODO (SUMINISTROS, SERVICIOS, ABONOS Y SEGUROS)</t>
  </si>
  <si>
    <r>
      <rPr>
        <rFont val="Calibri"/>
        <b/>
        <color rgb="FF404040"/>
        <sz val="8.0"/>
      </rPr>
      <t>REMUNERACIONES DEL PERSONAL</t>
    </r>
  </si>
  <si>
    <r>
      <rPr>
        <rFont val="Calibri"/>
        <b/>
        <color rgb="FF404040"/>
        <sz val="8.0"/>
      </rPr>
      <t>GASTOS COMUNES</t>
    </r>
  </si>
  <si>
    <r>
      <rPr>
        <rFont val="Calibri"/>
        <b/>
        <color rgb="FF404040"/>
        <sz val="8.0"/>
      </rPr>
      <t>% DEL GASTO TOTAL</t>
    </r>
  </si>
  <si>
    <r>
      <rPr>
        <rFont val="Calibri"/>
        <color theme="1"/>
        <sz val="8.0"/>
      </rPr>
      <t>BUSTAMANTE JUAN MANUEL - ENCARGADO PERMANTENTE SIN VIVIENDA 4ta CATEGORIA.</t>
    </r>
  </si>
  <si>
    <r>
      <rPr>
        <rFont val="Calibri"/>
        <color theme="1"/>
        <sz val="8.0"/>
      </rPr>
      <t>CUIL: 20-13606437-2  - MES LIQUIDADO: DICIEMBRE 2025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</si>
  <si>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</si>
  <si>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</si>
  <si>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AJUSTE SAC 2do SEMESTRE</t>
    </r>
  </si>
  <si>
    <r>
      <rPr>
        <rFont val="Calibri"/>
        <color theme="1"/>
        <sz val="8.0"/>
      </rPr>
      <t>FERIADO</t>
    </r>
  </si>
  <si>
    <r>
      <rPr>
        <rFont val="Calibri"/>
        <color theme="1"/>
        <sz val="8.0"/>
      </rPr>
      <t>RETIRO DE RESIDUOS</t>
    </r>
  </si>
  <si>
    <r>
      <rPr>
        <rFont val="Calibri"/>
        <color theme="1"/>
        <sz val="8.0"/>
      </rPr>
      <t>PLUS LIMPIEZA COCHERA</t>
    </r>
  </si>
  <si>
    <r>
      <rPr>
        <rFont val="Calibri"/>
        <color theme="1"/>
        <sz val="8.0"/>
      </rPr>
      <t>PLUS JARDIN</t>
    </r>
  </si>
  <si>
    <r>
      <rPr>
        <rFont val="Calibri"/>
        <color theme="1"/>
        <sz val="8.0"/>
      </rPr>
      <t>VIATICOS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</si>
  <si>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</si>
  <si>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</si>
  <si>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</si>
  <si>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</si>
  <si>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</si>
  <si>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</si>
  <si>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</si>
  <si>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</si>
  <si>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t>LIQUIDACION POR 1089415</t>
  </si>
  <si>
    <t>CON LIQUIDACION</t>
  </si>
  <si>
    <r>
      <rPr>
        <rFont val="Calibri"/>
        <color theme="1"/>
        <sz val="8.0"/>
      </rPr>
      <t>BUSTAMANTE VICTOR JAVIER - ENCARGADO NO PERMANTENTE SIN VIVIENDA 4ta CATEGORIA.</t>
    </r>
  </si>
  <si>
    <r>
      <rPr>
        <rFont val="Calibri"/>
        <color theme="1"/>
        <sz val="8.0"/>
      </rPr>
      <t>CUIL: 20-27737820-6  - MES LIQUIDADO: DICIEMBRE 2025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</si>
  <si>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</si>
  <si>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</si>
  <si>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RETIRO DE RESIDUOS</t>
    </r>
  </si>
  <si>
    <r>
      <rPr>
        <rFont val="Calibri"/>
        <color theme="1"/>
        <sz val="8.0"/>
      </rPr>
      <t>PLUS LIMPIEZA COCHERA</t>
    </r>
  </si>
  <si>
    <r>
      <rPr>
        <rFont val="Calibri"/>
        <color theme="1"/>
        <sz val="8.0"/>
      </rPr>
      <t>PLUS JARDIN</t>
    </r>
  </si>
  <si>
    <r>
      <rPr>
        <rFont val="Calibri"/>
        <color theme="1"/>
        <sz val="8.0"/>
      </rPr>
      <t>FERIADO</t>
    </r>
  </si>
  <si>
    <r>
      <rPr>
        <rFont val="Calibri"/>
        <color theme="1"/>
        <sz val="8.0"/>
      </rPr>
      <t>VIATICOS (SEPT Y OCT)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</si>
  <si>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</si>
  <si>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</si>
  <si>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</si>
  <si>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</si>
  <si>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</si>
  <si>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</si>
  <si>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</si>
  <si>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</si>
  <si>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t>LIQUIDACION POR 681302</t>
  </si>
  <si>
    <r>
      <rPr>
        <rFont val="Calibri"/>
        <color theme="1"/>
        <sz val="8.0"/>
      </rPr>
      <t>RAMIREZ GUILLERMO ALBERTO - PERSONAL VIGILANCIA NOCTURNA</t>
    </r>
  </si>
  <si>
    <r>
      <rPr>
        <rFont val="Calibri"/>
        <color theme="1"/>
        <sz val="8.0"/>
      </rPr>
      <t>CUIL: 20-2014502487-1  - MES LIQUIDADO: DICIEMBRE 2025</t>
    </r>
  </si>
  <si>
    <r>
      <rPr>
        <rFont val="Calibri"/>
        <color theme="1"/>
        <sz val="8.0"/>
      </rPr>
      <t>SUELDO/ JORNAL</t>
    </r>
  </si>
  <si>
    <r>
      <rPr>
        <rFont val="Calibri"/>
        <color theme="1"/>
        <sz val="8.0"/>
      </rPr>
      <t>ANTIGÜEDAD</t>
    </r>
  </si>
  <si>
    <r>
      <rPr>
        <rFont val="Calibri"/>
        <color theme="1"/>
        <sz val="8.0"/>
      </rPr>
      <t>FERIADO</t>
    </r>
  </si>
  <si>
    <r>
      <rPr>
        <rFont val="Calibri"/>
        <color theme="1"/>
        <sz val="8.0"/>
      </rPr>
      <t>VIATICOS</t>
    </r>
  </si>
  <si>
    <r>
      <rPr>
        <rFont val="Calibri"/>
        <color theme="1"/>
        <sz val="8.0"/>
      </rPr>
      <t>JUBILACION 11%</t>
    </r>
  </si>
  <si>
    <r>
      <rPr>
        <rFont val="Calibri"/>
        <color theme="1"/>
        <sz val="8.0"/>
      </rPr>
      <t>INSSJP 3%</t>
    </r>
  </si>
  <si>
    <r>
      <rPr>
        <rFont val="Calibri"/>
        <color theme="1"/>
        <sz val="8.0"/>
      </rPr>
      <t>OBRA SOCIAL  3 %</t>
    </r>
  </si>
  <si>
    <r>
      <rPr>
        <rFont val="Calibri"/>
        <color theme="1"/>
        <sz val="8.0"/>
      </rPr>
      <t>FATERYH 1 %</t>
    </r>
  </si>
  <si>
    <r>
      <rPr>
        <rFont val="Calibri"/>
        <color theme="1"/>
        <sz val="8.0"/>
      </rPr>
      <t>FONDO PROTECCION FAMILIAR</t>
    </r>
  </si>
  <si>
    <r>
      <rPr>
        <rFont val="Calibri"/>
        <color theme="1"/>
        <sz val="8.0"/>
      </rPr>
      <t>CUOTA SINDICAL 2 %</t>
    </r>
  </si>
  <si>
    <r>
      <rPr>
        <rFont val="Calibri"/>
        <color theme="1"/>
        <sz val="8.0"/>
      </rPr>
      <t>FATERYH ART 27BIS 0,75%</t>
    </r>
  </si>
  <si>
    <r>
      <rPr>
        <rFont val="Calibri"/>
        <color theme="1"/>
        <sz val="8.0"/>
      </rPr>
      <t>TOTALES</t>
    </r>
  </si>
  <si>
    <t>LIQUIDACION POR 688435</t>
  </si>
  <si>
    <r>
      <rPr>
        <rFont val="Calibri"/>
        <color theme="1"/>
        <sz val="8.0"/>
      </rPr>
      <t>DIFERENCIA AGUINALDO DICIEMBRE 2025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</si>
  <si>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</si>
  <si>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CARGAS SOCIALES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</si>
  <si>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</si>
  <si>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CARGAS SOCIALES</t>
    </r>
  </si>
  <si>
    <r>
      <rPr>
        <rFont val="Calibri"/>
        <color theme="1"/>
        <sz val="8.0"/>
      </rPr>
      <t>DICIEMBRE 2025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</si>
  <si>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</si>
  <si>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APORTES SINDICALES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</si>
  <si>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</si>
  <si>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CUOTA SINDICAL</t>
    </r>
  </si>
  <si>
    <r>
      <rPr>
        <rFont val="Calibri"/>
        <color theme="1"/>
        <sz val="8.0"/>
      </rPr>
      <t>DICIEMBRE 2025</t>
    </r>
  </si>
  <si>
    <t>VER DETALLE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</si>
  <si>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</si>
  <si>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SERVICIOS PÚBLICOS Y ABONOS</t>
    </r>
  </si>
  <si>
    <r>
      <rPr>
        <rFont val="Calibri"/>
        <b/>
        <color rgb="FF404040"/>
        <sz val="8.0"/>
      </rPr>
      <t>GASTOS COMUNES</t>
    </r>
  </si>
  <si>
    <r>
      <rPr>
        <rFont val="Calibri"/>
        <color theme="1"/>
        <sz val="8.0"/>
      </rPr>
      <t>AYSA Cliente N°192498</t>
    </r>
  </si>
  <si>
    <r>
      <rPr>
        <rFont val="Calibri"/>
        <color theme="1"/>
        <sz val="8.0"/>
      </rPr>
      <t>DICIEMBRE 2025</t>
    </r>
  </si>
  <si>
    <r>
      <rPr>
        <rFont val="Calibri"/>
        <color theme="1"/>
        <sz val="8.0"/>
      </rPr>
      <t>AYSA Cliente N°192499</t>
    </r>
  </si>
  <si>
    <r>
      <rPr>
        <rFont val="Calibri"/>
        <color theme="1"/>
        <sz val="8.0"/>
      </rPr>
      <t>DICIEMBRE 2025</t>
    </r>
  </si>
  <si>
    <r>
      <rPr>
        <rFont val="Calibri"/>
        <color theme="1"/>
        <sz val="8.0"/>
      </rPr>
      <t>AYSA Cliente N°192500</t>
    </r>
  </si>
  <si>
    <r>
      <rPr>
        <rFont val="Calibri"/>
        <color theme="1"/>
        <sz val="8.0"/>
      </rPr>
      <t>DICIEMBRE 2025</t>
    </r>
  </si>
  <si>
    <r>
      <rPr>
        <rFont val="Calibri"/>
        <color theme="1"/>
        <sz val="8.0"/>
      </rPr>
      <t>EDESUR Cliente N°05637256</t>
    </r>
  </si>
  <si>
    <r>
      <rPr>
        <rFont val="Calibri"/>
        <color theme="1"/>
        <sz val="8.0"/>
      </rPr>
      <t>DICIEMBRE 2025</t>
    </r>
  </si>
  <si>
    <r>
      <rPr>
        <rFont val="Calibri"/>
        <color theme="1"/>
        <sz val="8.0"/>
      </rPr>
      <t>CABLEVISION FLOW</t>
    </r>
  </si>
  <si>
    <r>
      <rPr>
        <rFont val="Calibri"/>
        <color theme="1"/>
        <sz val="8.0"/>
      </rPr>
      <t>DICIEMBRE 2025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</si>
  <si>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</si>
  <si>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MANTENIMIENTO PARTES COMUNES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</si>
  <si>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</si>
  <si>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 EVENTUAL</t>
    </r>
  </si>
  <si>
    <r>
      <rPr>
        <rFont val="Calibri"/>
        <b/>
        <color rgb="FF404040"/>
        <sz val="8.0"/>
      </rPr>
      <t>GASTOS EXTRAORDINARIOS</t>
    </r>
  </si>
  <si>
    <r>
      <rPr>
        <rFont val="Calibri"/>
        <color theme="1"/>
        <sz val="8.0"/>
      </rPr>
      <t>LA UNION E HIJOS SRL</t>
    </r>
  </si>
  <si>
    <r>
      <rPr>
        <rFont val="Calibri"/>
        <color theme="1"/>
        <sz val="8.0"/>
      </rPr>
      <t>COMPRA DE PINTURA CUOATA 01/02</t>
    </r>
  </si>
  <si>
    <t>SIN RESPALDO POR ESE TOTAL</t>
  </si>
  <si>
    <r>
      <rPr>
        <rFont val="Calibri"/>
        <color theme="1"/>
        <sz val="8.0"/>
      </rPr>
      <t>ASCENSORES GUILLEMI</t>
    </r>
  </si>
  <si>
    <r>
      <rPr>
        <rFont val="Calibri"/>
        <color theme="1"/>
        <sz val="8.0"/>
      </rPr>
      <t>Mantenimiento ascensores DICIEMBRE</t>
    </r>
  </si>
  <si>
    <t>NO SE PAGO POR CUENTA</t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</si>
  <si>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</si>
  <si>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COMBUSTIBLE FACT Nro 00011-53269</t>
    </r>
  </si>
  <si>
    <t>CON FACTURA FECHA 14/10 21:25</t>
  </si>
  <si>
    <r>
      <rPr>
        <rFont val="Calibri"/>
        <color theme="1"/>
        <sz val="8.0"/>
      </rPr>
      <t>YPF CICLOS</t>
    </r>
  </si>
  <si>
    <r>
      <rPr>
        <rFont val="Calibri"/>
        <color theme="1"/>
        <sz val="8.0"/>
      </rPr>
      <t>COMPRA DE COMBUTIBLR FACT.Nro 0001-53270</t>
    </r>
  </si>
  <si>
    <t>CON FACTURA FECHA 14/10 21:27</t>
  </si>
  <si>
    <r>
      <rPr>
        <rFont val="Calibri"/>
        <color theme="1"/>
        <sz val="8.0"/>
      </rPr>
      <t>CLEANING SERVICE</t>
    </r>
  </si>
  <si>
    <r>
      <rPr>
        <rFont val="Calibri"/>
        <color theme="1"/>
        <sz val="8.0"/>
      </rPr>
      <t>ADORNOS NAVIDAD</t>
    </r>
  </si>
  <si>
    <t>COMPROBANTE NO VALIDO COMO FACTURA</t>
  </si>
  <si>
    <t>EMMANUEL ELIA</t>
  </si>
  <si>
    <r>
      <rPr>
        <rFont val="Calibri"/>
        <color theme="1"/>
        <sz val="8.0"/>
      </rPr>
      <t>CLEANNIG SERVICE</t>
    </r>
  </si>
  <si>
    <r>
      <rPr>
        <rFont val="Calibri"/>
        <color theme="1"/>
        <sz val="8.0"/>
      </rPr>
      <t>MATERIALES DE LIMPIEZA</t>
    </r>
  </si>
  <si>
    <r>
      <rPr>
        <rFont val="Calibri"/>
        <color theme="1"/>
        <sz val="8.0"/>
      </rPr>
      <t>LOCAELLI RODLFO SANTIAGO</t>
    </r>
  </si>
  <si>
    <r>
      <rPr>
        <rFont val="Calibri"/>
        <color theme="1"/>
        <sz val="8.0"/>
      </rPr>
      <t>DESTAPACION FILTRO  MEDIDOR AYSA  FACT.  00003-0785</t>
    </r>
  </si>
  <si>
    <r>
      <rPr>
        <rFont val="Calibri"/>
        <color theme="1"/>
        <sz val="8.0"/>
      </rPr>
      <t>FB SANEAMIENTO AMBIENTAL</t>
    </r>
  </si>
  <si>
    <r>
      <rPr>
        <rFont val="Calibri"/>
        <color theme="1"/>
        <sz val="8.0"/>
      </rPr>
      <t>DESINFECCIN  FACT  00001-1760</t>
    </r>
  </si>
  <si>
    <t>TARTARELLI JULIO</t>
  </si>
  <si>
    <r>
      <rPr>
        <rFont val="Calibri"/>
        <b/>
        <color theme="1"/>
        <sz val="8.0"/>
      </rPr>
      <t>Total rubro:</t>
    </r>
  </si>
  <si>
    <t>SI</t>
  </si>
  <si>
    <r>
      <rPr>
        <rFont val="Calibri"/>
        <b/>
        <color rgb="FF404040"/>
        <sz val="8.0"/>
      </rPr>
      <t>GASTOS BANCARIOS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</si>
  <si>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</si>
  <si>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COMISION DE MANTENIMIENTO,  IVA, IIBB</t>
    </r>
  </si>
  <si>
    <r>
      <rPr>
        <rFont val="Calibri"/>
        <color theme="1"/>
        <sz val="8.0"/>
      </rPr>
      <t>LEY 25413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</si>
  <si>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</si>
  <si>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SEGUROS ORDINARIOS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</si>
  <si>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</si>
  <si>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HOLANDO POLIZA N°2000004.5</t>
    </r>
  </si>
  <si>
    <r>
      <rPr>
        <rFont val="Calibri"/>
        <color theme="1"/>
        <sz val="8.0"/>
      </rPr>
      <t>SEGURO INTEGRAL DEL CONSORCIO</t>
    </r>
  </si>
  <si>
    <r>
      <rPr>
        <rFont val="Calibri"/>
        <color theme="1"/>
        <sz val="8.0"/>
      </rPr>
      <t>ALLIANZ GRAL POLIZA</t>
    </r>
  </si>
  <si>
    <r>
      <rPr>
        <rFont val="Calibri"/>
        <color theme="1"/>
        <sz val="8.0"/>
      </rPr>
      <t>SEGURO PERSONAL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</si>
  <si>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</si>
  <si>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</si>
  <si>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SEGURIDAD</t>
    </r>
  </si>
  <si>
    <r>
      <rPr>
        <rFont val="Calibri"/>
        <b/>
        <color rgb="FF404040"/>
        <sz val="8.0"/>
      </rPr>
      <t>GASTOS B</t>
    </r>
  </si>
  <si>
    <r>
      <rPr>
        <rFont val="Calibri"/>
        <color theme="1"/>
        <sz val="8.0"/>
      </rPr>
      <t>MM SERVICIOS DE SEGURIDAD</t>
    </r>
  </si>
  <si>
    <r>
      <rPr>
        <rFont val="Calibri"/>
        <color theme="1"/>
        <sz val="8.0"/>
      </rPr>
      <t>SEGURIDAD  DICIEMBRE  ACT  00002-0045</t>
    </r>
  </si>
  <si>
    <t>MELINA GISELE PEREZ MES ANTERIOR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</si>
  <si>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</si>
  <si>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JARDINERIA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</si>
  <si>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</si>
  <si>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</si>
  <si>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 xml:space="preserve">GASTOS
</t>
    </r>
    <r>
      <rPr>
        <rFont val="Calibri"/>
        <b/>
        <color rgb="FF404040"/>
        <sz val="8.0"/>
      </rPr>
      <t>PARTICULARES</t>
    </r>
  </si>
  <si>
    <r>
      <rPr>
        <rFont val="Calibri"/>
        <color theme="1"/>
        <sz val="8.0"/>
      </rPr>
      <t>CHRISTIAN OGAZ</t>
    </r>
  </si>
  <si>
    <r>
      <rPr>
        <rFont val="Calibri"/>
        <color theme="1"/>
        <sz val="8.0"/>
      </rPr>
      <t>CORTE CESPED 22/12 Y 29/12</t>
    </r>
  </si>
  <si>
    <t>CON RECIBI</t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</si>
  <si>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</si>
  <si>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GASTOS DE ADMINISTRACION</t>
    </r>
  </si>
  <si>
    <r>
      <rPr>
        <rFont val="Calibri"/>
        <b/>
        <color rgb="FF404040"/>
        <sz val="8.0"/>
      </rPr>
      <t>GASTOS A</t>
    </r>
  </si>
  <si>
    <r>
      <rPr>
        <rFont val="Calibri"/>
        <b/>
        <color rgb="FF404040"/>
        <sz val="8.0"/>
      </rPr>
      <t>GASTOS B</t>
    </r>
  </si>
  <si>
    <r>
      <rPr>
        <rFont val="Calibri"/>
        <b/>
        <color rgb="FF404040"/>
        <sz val="8.0"/>
      </rPr>
      <t>GASTOS PARTICULARES</t>
    </r>
  </si>
  <si>
    <r>
      <rPr>
        <rFont val="Calibri"/>
        <color theme="1"/>
        <sz val="8.0"/>
      </rPr>
      <t>HONORARIOS  CONTADOR  FACTURA  Nro  00002-0850</t>
    </r>
  </si>
  <si>
    <r>
      <rPr>
        <rFont val="Calibri"/>
        <color theme="1"/>
        <sz val="8.0"/>
      </rPr>
      <t>FOTOCOPIAS DE EXPENSAS NOVIEMBRE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</si>
  <si>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</si>
  <si>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rgb="FF404040"/>
        <sz val="8.0"/>
      </rPr>
      <t>HONORARIOS PROFESIONALES</t>
    </r>
  </si>
  <si>
    <r>
      <rPr>
        <rFont val="Calibri"/>
        <b/>
        <color rgb="FF404040"/>
        <sz val="8.0"/>
      </rPr>
      <t>GASTOS A</t>
    </r>
  </si>
  <si>
    <r>
      <rPr>
        <rFont val="Calibri"/>
        <color theme="1"/>
        <sz val="8.0"/>
      </rPr>
      <t>D&amp;F Administracion</t>
    </r>
  </si>
  <si>
    <r>
      <rPr>
        <rFont val="Calibri"/>
        <color theme="1"/>
        <sz val="8.0"/>
      </rPr>
      <t>DICIEMBRE 2025 FAC N°00001-0000250</t>
    </r>
  </si>
  <si>
    <r>
      <rPr>
        <rFont val="Calibri"/>
        <b/>
        <color theme="1"/>
        <sz val="8.0"/>
      </rPr>
      <t>Total rubro:</t>
    </r>
  </si>
  <si>
    <r>
      <rPr>
        <rFont val="Calibri"/>
        <b/>
        <color theme="1"/>
        <sz val="8.0"/>
      </rPr>
      <t>SUBTOTALES X GASTOS</t>
    </r>
  </si>
  <si>
    <r>
      <rPr>
        <rFont val="Calibri"/>
        <b/>
        <color theme="1"/>
        <sz val="8.0"/>
      </rPr>
      <t>TOTAL GASTOS ORDINARIOS</t>
    </r>
  </si>
  <si>
    <t>Estado Bancario</t>
  </si>
  <si>
    <r>
      <rPr>
        <rFont val="Calibri"/>
        <b/>
        <color theme="1"/>
        <sz val="9.0"/>
      </rPr>
      <t>SALDO ANTERIOR 30-11-2025</t>
    </r>
  </si>
  <si>
    <t>OK</t>
  </si>
  <si>
    <r>
      <rPr>
        <rFont val="Calibri"/>
        <color theme="1"/>
        <sz val="9.0"/>
      </rPr>
      <t>INGRESOS DE EXPENSAS (Por Trasferencias)</t>
    </r>
  </si>
  <si>
    <r>
      <rPr>
        <rFont val="Calibri"/>
        <color theme="1"/>
        <sz val="9.0"/>
      </rPr>
      <t>SUELDOS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</si>
  <si>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</si>
  <si>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ARCA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</si>
  <si>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</si>
  <si>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CUOTA SINDICAL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</si>
  <si>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</si>
  <si>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COMISION PAQUETE + IVA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</si>
  <si>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</si>
  <si>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SEGUROS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</si>
  <si>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</si>
  <si>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SERVICIOS</t>
    </r>
  </si>
  <si>
    <r>
      <rPr>
        <rFont val="Calibri"/>
        <color rgb="FFFF0000"/>
        <sz val="9.0"/>
      </rPr>
      <t>-$</t>
    </r>
  </si>
  <si>
    <r>
      <rPr>
        <rFont val="Calibri"/>
        <color theme="1"/>
        <sz val="9.0"/>
      </rPr>
      <t>PROVEEDORES</t>
    </r>
  </si>
  <si>
    <r>
      <rPr>
        <rFont val="Calibri"/>
        <color rgb="FFFF0000"/>
        <sz val="9.0"/>
      </rPr>
      <t>-$</t>
    </r>
  </si>
  <si>
    <t>INCLUYEN LOS PAGOS DE MOREL NO LIQUIDADOS COMO GASTOS Y DE PAVON CON COMPROBANTE MES ANTERIOR (IDENTIFICADO POR DEDUCCIÓN)</t>
  </si>
  <si>
    <r>
      <rPr>
        <rFont val="Calibri"/>
        <color theme="1"/>
        <sz val="9.0"/>
      </rPr>
      <t>IMPUESTO LEY 25413</t>
    </r>
  </si>
  <si>
    <r>
      <rPr>
        <rFont val="Calibri"/>
        <color rgb="FFFF0000"/>
        <sz val="9.0"/>
      </rPr>
      <t>-$</t>
    </r>
  </si>
  <si>
    <t>CHEQUEO</t>
  </si>
  <si>
    <r>
      <rPr>
        <rFont val="Calibri"/>
        <b/>
        <color theme="1"/>
        <sz val="9.0"/>
      </rPr>
      <t>SALDO AL CIERRE 31-12-2025</t>
    </r>
  </si>
  <si>
    <r>
      <rPr>
        <rFont val="Calibri"/>
        <b/>
        <color theme="1"/>
        <sz val="8.0"/>
      </rPr>
      <t>FONDO DE RESERVA - LIQUIDADO EN EXPENSA VS ABONADO</t>
    </r>
  </si>
  <si>
    <r>
      <rPr>
        <rFont val="Calibri"/>
        <b/>
        <color theme="1"/>
        <sz val="8.0"/>
      </rPr>
      <t>PERIODO</t>
    </r>
  </si>
  <si>
    <r>
      <rPr>
        <rFont val="Calibri"/>
        <b/>
        <color theme="1"/>
        <sz val="8.0"/>
      </rPr>
      <t>DESCRIPCION</t>
    </r>
  </si>
  <si>
    <r>
      <rPr>
        <rFont val="Calibri"/>
        <b/>
        <color theme="1"/>
        <sz val="8.0"/>
      </rPr>
      <t>LIQUIDADO</t>
    </r>
  </si>
  <si>
    <r>
      <rPr>
        <rFont val="Calibri"/>
        <b/>
        <color theme="1"/>
        <sz val="8.0"/>
      </rPr>
      <t>RECAUDADO</t>
    </r>
  </si>
  <si>
    <r>
      <rPr>
        <rFont val="Calibri"/>
        <b/>
        <color theme="1"/>
        <sz val="8.0"/>
      </rPr>
      <t>ABONADO</t>
    </r>
  </si>
  <si>
    <r>
      <rPr>
        <rFont val="Calibri"/>
        <b/>
        <color theme="1"/>
        <sz val="8.0"/>
      </rPr>
      <t>FECHA DE PAGO</t>
    </r>
  </si>
  <si>
    <r>
      <rPr>
        <rFont val="Calibri"/>
        <b/>
        <color theme="1"/>
        <sz val="8.0"/>
      </rPr>
      <t>SALDO EN CUENTA AL INICIO DE LA GESTION</t>
    </r>
  </si>
  <si>
    <r>
      <rPr>
        <rFont val="Calibri"/>
        <b/>
        <color theme="1"/>
        <sz val="8.0"/>
      </rPr>
      <t>EXPENSA JULIO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</si>
  <si>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</si>
  <si>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</si>
  <si>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</si>
  <si>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</si>
  <si>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AGOSTO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</si>
  <si>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</si>
  <si>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</si>
  <si>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</si>
  <si>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</si>
  <si>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SEPTIEMBRE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</si>
  <si>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</si>
  <si>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</si>
  <si>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-</t>
    </r>
  </si>
  <si>
    <r>
      <rPr>
        <rFont val="Calibri"/>
        <color theme="1"/>
        <sz val="8.0"/>
      </rPr>
      <t>N/A</t>
    </r>
  </si>
  <si>
    <r>
      <rPr>
        <rFont val="Calibri"/>
        <b/>
        <color theme="1"/>
        <sz val="8.0"/>
      </rPr>
      <t>EXPENSA OCTUBRE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</si>
  <si>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</si>
  <si>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</si>
  <si>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-</t>
    </r>
  </si>
  <si>
    <r>
      <rPr>
        <rFont val="Calibri"/>
        <color theme="1"/>
        <sz val="8.0"/>
      </rPr>
      <t>N/A</t>
    </r>
  </si>
  <si>
    <r>
      <rPr>
        <rFont val="Calibri"/>
        <b/>
        <color rgb="FFCC0000"/>
        <sz val="8.0"/>
      </rPr>
      <t>EXPENSA NOVIEMBRE</t>
    </r>
  </si>
  <si>
    <r>
      <rPr>
        <rFont val="Calibri"/>
        <color rgb="FFCC0000"/>
        <sz val="8.0"/>
      </rPr>
      <t>PROVISION</t>
    </r>
  </si>
  <si>
    <r>
      <rPr>
        <rFont val="Calibri"/>
        <color rgb="FFCC0000"/>
        <sz val="8.0"/>
      </rPr>
      <t>PARA PINTURA EDIFICIO</t>
    </r>
  </si>
  <si>
    <r>
      <rPr>
        <rFont val="Calibri"/>
        <color rgb="FFCC0000"/>
        <sz val="8.0"/>
      </rPr>
      <t>$              -</t>
    </r>
  </si>
  <si>
    <r>
      <rPr>
        <rFont val="Calibri"/>
        <color rgb="FFCC0000"/>
        <sz val="8.0"/>
      </rPr>
      <t>N/A</t>
    </r>
  </si>
  <si>
    <t>NO ABONO NADIE EN DICIEMBRE SOBRE ESTA DEUDA?</t>
  </si>
  <si>
    <r>
      <rPr>
        <rFont val="Calibri"/>
        <b/>
        <color theme="1"/>
        <sz val="8.0"/>
      </rPr>
      <t>EXPENSA DICIEMBRE</t>
    </r>
  </si>
  <si>
    <r>
      <rPr>
        <rFont val="Calibri"/>
        <color theme="1"/>
        <sz val="8.0"/>
      </rPr>
      <t>PROVISION</t>
    </r>
  </si>
  <si>
    <r>
      <rPr>
        <rFont val="Calibri"/>
        <color theme="1"/>
        <sz val="8.0"/>
      </rPr>
      <t>PARA PINTURA EDIFICIO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</si>
  <si>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</si>
  <si>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$              -</t>
    </r>
  </si>
  <si>
    <r>
      <rPr>
        <rFont val="Calibri"/>
        <color theme="1"/>
        <sz val="8.0"/>
      </rPr>
      <t>N/A</t>
    </r>
  </si>
  <si>
    <t>EL FONDO DE RESERVA FUE POR 7.000.000 NO POR 1.500.000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</si>
  <si>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</si>
  <si>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</si>
  <si>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-</t>
    </r>
  </si>
  <si>
    <r>
      <rPr>
        <rFont val="Calibri"/>
        <color theme="1"/>
        <sz val="8.0"/>
      </rPr>
      <t>$                -</t>
    </r>
  </si>
  <si>
    <t>CON RECIBI FALTA LA FACTURA</t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</si>
  <si>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</si>
  <si>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</si>
  <si>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-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</si>
  <si>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</si>
  <si>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</si>
  <si>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</si>
  <si>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-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</si>
  <si>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</si>
  <si>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RAFAEL MOREL</t>
    </r>
  </si>
  <si>
    <r>
      <rPr>
        <rFont val="Calibri"/>
        <color theme="1"/>
        <sz val="8.0"/>
      </rPr>
      <t>TRABAJO DE PINTURA</t>
    </r>
  </si>
  <si>
    <r>
      <rPr>
        <rFont val="Calibri"/>
        <color theme="1"/>
        <sz val="8.0"/>
      </rPr>
      <t>$             -</t>
    </r>
  </si>
  <si>
    <r>
      <rPr>
        <rFont val="Calibri"/>
        <color theme="1"/>
        <sz val="8.0"/>
      </rPr>
      <t>$                -</t>
    </r>
  </si>
  <si>
    <r>
      <rPr>
        <rFont val="Calibri"/>
        <color theme="1"/>
        <sz val="8.0"/>
      </rPr>
      <t>UNION E HIJOS</t>
    </r>
  </si>
  <si>
    <r>
      <rPr>
        <rFont val="Calibri"/>
        <color theme="1"/>
        <sz val="8.0"/>
      </rPr>
      <t>COMPRA DE PINTURA</t>
    </r>
  </si>
  <si>
    <r>
      <rPr>
        <rFont val="Calibri"/>
        <color theme="1"/>
        <sz val="8.0"/>
      </rPr>
      <t>$             -</t>
    </r>
  </si>
  <si>
    <r>
      <rPr>
        <rFont val="Calibri"/>
        <color theme="1"/>
        <sz val="8.0"/>
      </rPr>
      <t>$                -</t>
    </r>
  </si>
  <si>
    <t>CON FACTURAS</t>
  </si>
  <si>
    <r>
      <rPr>
        <rFont val="Calibri"/>
        <b/>
        <color theme="1"/>
        <sz val="8.0"/>
      </rPr>
      <t>TOTALES</t>
    </r>
  </si>
  <si>
    <r>
      <rPr>
        <rFont val="Calibri"/>
        <b/>
        <color theme="1"/>
        <sz val="8.0"/>
      </rPr>
      <t>SALDO AL 31-12-2025</t>
    </r>
  </si>
  <si>
    <t>TODO ESTO DEBERIA HABER APARECIDO COMO EXPENSA EXTRAORDINARIA PARA REPONER EL FDR ORIGINAL, EN ESTA EXPENSA NO SE LIQUIDO NADA PERO SE GASTO EN ESTE PERIODO.</t>
  </si>
  <si>
    <t>FALTA INCORPORAR LOS 3.500.000 LIQUIDADOS COMO EXPENSAS EXTRAORDINARIAS EN ESTE RESUMEN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</si>
</sst>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2">
    <numFmt numFmtId="164" formatCode="d/m"/>
    <numFmt numFmtId="165" formatCode="&quot;$&quot;#,##0.00"/>
    <numFmt numFmtId="166" formatCode="0.000 %"/>
    <numFmt numFmtId="167" formatCode="$ #,##0"/>
    <numFmt numFmtId="168" formatCode="$ #,##0;[Red]$ #,##0"/>
    <numFmt numFmtId="169" formatCode="$ 0;[Red]$ 0"/>
    <numFmt numFmtId="170" formatCode="$ #,##0.00"/>
    <numFmt numFmtId="171" formatCode="0.00 %"/>
    <numFmt numFmtId="172" formatCode="0 %"/>
    <numFmt numFmtId="173" formatCode="&quot;$&quot;#,##0"/>
    <numFmt numFmtId="174" formatCode="#,##0.00;[Red]#,##0.00"/>
    <numFmt numFmtId="175" formatCode="d/mm/yyyy"/>
  </numFmts>
  <fonts count="39">
    <font>
      <sz val="10.0"/>
      <color rgb="FF000000"/>
      <name val="Times New Roman"/>
      <scheme val="minor"/>
    </font>
    <font>
      <color theme="1"/>
      <name val="Times New Roman"/>
      <scheme val="minor"/>
    </font>
    <font>
      <color theme="1"/>
      <name val="Times New Roman"/>
    </font>
    <font>
      <b/>
      <sz val="8.0"/>
      <color theme="1"/>
      <name val="Calibri"/>
    </font>
    <font/>
    <font>
      <sz val="10.0"/>
      <color rgb="FF000000"/>
      <name val="Times New Roman"/>
    </font>
    <font>
      <b/>
      <sz val="9.0"/>
      <color theme="1"/>
      <name val="Calibri"/>
    </font>
    <font>
      <b/>
      <sz val="9.0"/>
      <color rgb="FF000000"/>
      <name val="Calibri"/>
    </font>
    <font>
      <sz val="9.0"/>
      <color rgb="FF000000"/>
      <name val="Calibri"/>
    </font>
    <font>
      <sz val="9.0"/>
      <color theme="1"/>
      <name val="Calibri"/>
    </font>
    <font>
      <sz val="9.0"/>
      <color rgb="FF3C78D8"/>
      <name val="Calibri"/>
    </font>
    <font>
      <color rgb="FF1155CC"/>
      <name val="Times New Roman"/>
      <scheme val="minor"/>
    </font>
    <font>
      <sz val="9.0"/>
      <color rgb="FFFF0000"/>
      <name val="Calibri"/>
    </font>
    <font>
      <b/>
      <color theme="1"/>
      <name val="Times New Roman"/>
      <scheme val="minor"/>
    </font>
    <font>
      <color rgb="FF0B5394"/>
      <name val="Times New Roman"/>
      <scheme val="minor"/>
    </font>
    <font>
      <color rgb="FFCC0000"/>
      <name val="Times New Roman"/>
    </font>
    <font>
      <color rgb="FF990000"/>
      <name val="Times New Roman"/>
      <scheme val="minor"/>
    </font>
    <font>
      <color rgb="FF990000"/>
      <name val="Times New Roman"/>
    </font>
    <font>
      <color rgb="FFE06666"/>
      <name val="Times New Roman"/>
    </font>
    <font>
      <b/>
      <color theme="1"/>
      <name val="Times New Roman"/>
    </font>
    <font>
      <color rgb="FFCC0000"/>
      <name val="Times New Roman"/>
      <scheme val="minor"/>
    </font>
    <font>
      <sz val="9.0"/>
      <color rgb="FF1155CC"/>
      <name val="Calibri"/>
    </font>
    <font>
      <color rgb="FF38761D"/>
      <name val="Times New Roman"/>
      <scheme val="minor"/>
    </font>
    <font>
      <b/>
      <sz val="10.0"/>
      <color theme="1"/>
      <name val="Calibri"/>
    </font>
    <font>
      <b/>
      <sz val="9.0"/>
      <color rgb="FFFF0000"/>
      <name val="Calibri"/>
    </font>
    <font>
      <sz val="8.0"/>
      <color theme="1"/>
      <name val="Calibri"/>
    </font>
    <font>
      <sz val="8.0"/>
      <color rgb="FF000000"/>
      <name val="Calibri"/>
    </font>
    <font>
      <sz val="8.0"/>
      <color rgb="FF990000"/>
      <name val="Calibri"/>
    </font>
    <font>
      <sz val="8.0"/>
      <color rgb="FFCC0000"/>
      <name val="Calibri"/>
    </font>
    <font>
      <b/>
      <sz val="8.0"/>
      <color rgb="FF000000"/>
      <name val="Calibri"/>
    </font>
    <font>
      <u/>
      <color rgb="FF0000FF"/>
    </font>
    <font>
      <sz val="8.0"/>
      <color rgb="FF134F5C"/>
      <name val="Calibri"/>
    </font>
    <font>
      <b/>
      <sz val="8.0"/>
      <color rgb="FF38761D"/>
      <name val="Calibri"/>
    </font>
    <font>
      <sz val="8.0"/>
      <color rgb="FF38761D"/>
      <name val="Calibri"/>
    </font>
    <font>
      <color rgb="FFE06666"/>
      <name val="Times New Roman"/>
      <scheme val="minor"/>
    </font>
    <font>
      <b/>
      <sz val="8.0"/>
      <color rgb="FFCC0000"/>
      <name val="Calibri"/>
    </font>
    <font>
      <sz val="8.0"/>
      <color rgb="FFFF0000"/>
      <name val="Calibri"/>
    </font>
    <font>
      <b/>
      <sz val="8.0"/>
      <color rgb="FFFF0000"/>
      <name val="Calibri"/>
    </font>
    <font>
      <color theme="0"/>
      <name val="Times New Roman"/>
      <scheme val="minor"/>
    </font>
  </fonts>
  <fills count="12">
    <fill>
      <patternFill patternType="none"/>
    </fill>
    <fill>
      <patternFill patternType="lightGray"/>
    </fill>
    <fill>
      <patternFill patternType="solid">
        <fgColor rgb="FFB8CDE3"/>
        <bgColor rgb="FFB8CDE3"/>
      </patternFill>
    </fill>
    <fill>
      <patternFill patternType="solid">
        <fgColor rgb="FFDCE6F0"/>
        <bgColor rgb="FFDCE6F0"/>
      </patternFill>
    </fill>
    <fill>
      <patternFill patternType="solid">
        <fgColor rgb="FFD9DFF0"/>
        <bgColor rgb="FFD9DFF0"/>
      </patternFill>
    </fill>
    <fill>
      <patternFill patternType="solid">
        <fgColor rgb="FFFFFF00"/>
        <bgColor rgb="FFFFFF00"/>
      </patternFill>
    </fill>
    <fill>
      <patternFill patternType="solid">
        <fgColor rgb="FFBDBDBD"/>
        <bgColor rgb="FFBDBDBD"/>
      </patternFill>
    </fill>
    <fill>
      <patternFill patternType="solid">
        <fgColor rgb="FFFFC000"/>
        <bgColor rgb="FFFFC000"/>
      </patternFill>
    </fill>
    <fill>
      <patternFill patternType="solid">
        <fgColor rgb="FF66CCFF"/>
        <bgColor rgb="FF66CCFF"/>
      </patternFill>
    </fill>
    <fill>
      <patternFill patternType="solid">
        <fgColor rgb="FF99FFCC"/>
        <bgColor rgb="FF99FFCC"/>
      </patternFill>
    </fill>
    <fill>
      <patternFill patternType="solid">
        <fgColor rgb="FF00FFCC"/>
        <bgColor rgb="FF00FFCC"/>
      </patternFill>
    </fill>
    <fill>
      <patternFill patternType="solid">
        <fgColor rgb="FFCC0000"/>
        <bgColor rgb="FFCC0000"/>
      </patternFill>
    </fill>
  </fills>
  <borders count="2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8000"/>
      </right>
      <top style="thin">
        <color rgb="FF000000"/>
      </top>
      <bottom style="thin">
        <color rgb="FF000000"/>
      </bottom>
    </border>
    <border>
      <left style="thin">
        <color rgb="FF008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DFDFDF"/>
      </right>
      <top style="thin">
        <color rgb="FF000000"/>
      </top>
      <bottom style="thin">
        <color rgb="FF000000"/>
      </bottom>
    </border>
    <border>
      <left style="thin">
        <color rgb="FFDFDFDF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1" numFmtId="164" xfId="0" applyAlignment="1" applyFont="1" applyNumberFormat="1">
      <alignment horizontal="left" readingOrder="0" vertical="top"/>
    </xf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left" vertical="top"/>
    </xf>
    <xf borderId="0" fillId="0" fontId="1" numFmtId="165" xfId="0" applyAlignment="1" applyFont="1" applyNumberFormat="1">
      <alignment horizontal="right" readingOrder="0" vertical="top"/>
    </xf>
    <xf borderId="0" fillId="0" fontId="1" numFmtId="0" xfId="0" applyAlignment="1" applyFont="1">
      <alignment horizontal="left" shrinkToFit="0" vertical="top" wrapText="0"/>
    </xf>
    <xf borderId="1" fillId="2" fontId="3" numFmtId="0" xfId="0" applyAlignment="1" applyBorder="1" applyFill="1" applyFont="1">
      <alignment horizontal="center" shrinkToFit="0" vertical="top" wrapText="0"/>
    </xf>
    <xf borderId="2" fillId="0" fontId="4" numFmtId="0" xfId="0" applyAlignment="1" applyBorder="1" applyFont="1">
      <alignment horizontal="left" vertical="top"/>
    </xf>
    <xf borderId="3" fillId="0" fontId="4" numFmtId="0" xfId="0" applyAlignment="1" applyBorder="1" applyFont="1">
      <alignment horizontal="left" vertical="top"/>
    </xf>
    <xf borderId="0" fillId="0" fontId="3" numFmtId="0" xfId="0" applyAlignment="1" applyFont="1">
      <alignment horizontal="left" shrinkToFit="0" vertical="top" wrapText="0"/>
    </xf>
    <xf borderId="0" fillId="0" fontId="5" numFmtId="0" xfId="0" applyAlignment="1" applyFont="1">
      <alignment horizontal="left" readingOrder="0" shrinkToFit="0" vertical="top" wrapText="0"/>
    </xf>
    <xf borderId="4" fillId="3" fontId="6" numFmtId="0" xfId="0" applyAlignment="1" applyBorder="1" applyFill="1" applyFont="1">
      <alignment horizontal="center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0" fillId="0" fontId="7" numFmtId="1" xfId="0" applyAlignment="1" applyFont="1" applyNumberFormat="1">
      <alignment horizontal="center" shrinkToFit="1" vertical="top" wrapText="0"/>
    </xf>
    <xf borderId="4" fillId="0" fontId="7" numFmtId="1" xfId="0" applyAlignment="1" applyBorder="1" applyFont="1" applyNumberFormat="1">
      <alignment horizontal="center" shrinkToFit="1" vertical="top" wrapText="0"/>
    </xf>
    <xf borderId="4" fillId="0" fontId="6" numFmtId="0" xfId="0" applyAlignment="1" applyBorder="1" applyFont="1">
      <alignment horizontal="center" shrinkToFit="0" vertical="top" wrapText="1"/>
    </xf>
    <xf borderId="4" fillId="0" fontId="6" numFmtId="0" xfId="0" applyAlignment="1" applyBorder="1" applyFont="1">
      <alignment horizontal="left" shrinkToFit="0" vertical="top" wrapText="1"/>
    </xf>
    <xf borderId="4" fillId="0" fontId="8" numFmtId="166" xfId="0" applyAlignment="1" applyBorder="1" applyFont="1" applyNumberFormat="1">
      <alignment horizontal="center" shrinkToFit="1" vertical="top" wrapText="0"/>
    </xf>
    <xf borderId="4" fillId="0" fontId="8" numFmtId="167" xfId="0" applyAlignment="1" applyBorder="1" applyFont="1" applyNumberFormat="1">
      <alignment horizontal="center" shrinkToFit="1" vertical="top" wrapText="0"/>
    </xf>
    <xf borderId="0" fillId="0" fontId="1" numFmtId="165" xfId="0" applyAlignment="1" applyFont="1" applyNumberFormat="1">
      <alignment horizontal="right" vertical="top"/>
    </xf>
    <xf borderId="4" fillId="0" fontId="9" numFmtId="0" xfId="0" applyAlignment="1" applyBorder="1" applyFont="1">
      <alignment horizontal="center" shrinkToFit="0" vertical="top" wrapText="1"/>
    </xf>
    <xf borderId="0" fillId="0" fontId="1" numFmtId="165" xfId="0" applyAlignment="1" applyFont="1" applyNumberFormat="1">
      <alignment horizontal="left" readingOrder="0" vertical="top"/>
    </xf>
    <xf borderId="4" fillId="0" fontId="10" numFmtId="167" xfId="0" applyAlignment="1" applyBorder="1" applyFont="1" applyNumberFormat="1">
      <alignment horizontal="center" shrinkToFit="1" vertical="top" wrapText="0"/>
    </xf>
    <xf borderId="0" fillId="0" fontId="11" numFmtId="165" xfId="0" applyAlignment="1" applyFont="1" applyNumberFormat="1">
      <alignment horizontal="right" readingOrder="0" vertical="top"/>
    </xf>
    <xf borderId="4" fillId="0" fontId="12" numFmtId="168" xfId="0" applyAlignment="1" applyBorder="1" applyFont="1" applyNumberFormat="1">
      <alignment horizontal="center" shrinkToFit="1" vertical="top" wrapText="0"/>
    </xf>
    <xf borderId="0" fillId="0" fontId="13" numFmtId="0" xfId="0" applyAlignment="1" applyFont="1">
      <alignment horizontal="left" readingOrder="0" vertical="top"/>
    </xf>
    <xf borderId="0" fillId="0" fontId="2" numFmtId="0" xfId="0" applyAlignment="1" applyFont="1">
      <alignment horizontal="left" readingOrder="0" vertical="top"/>
    </xf>
    <xf borderId="0" fillId="0" fontId="14" numFmtId="165" xfId="0" applyAlignment="1" applyFont="1" applyNumberFormat="1">
      <alignment horizontal="right" readingOrder="0" vertical="top"/>
    </xf>
    <xf borderId="0" fillId="0" fontId="15" numFmtId="0" xfId="0" applyAlignment="1" applyFont="1">
      <alignment horizontal="left" vertical="top"/>
    </xf>
    <xf borderId="0" fillId="0" fontId="15" numFmtId="164" xfId="0" applyAlignment="1" applyFont="1" applyNumberFormat="1">
      <alignment horizontal="left" vertical="top"/>
    </xf>
    <xf borderId="0" fillId="0" fontId="15" numFmtId="165" xfId="0" applyAlignment="1" applyFont="1" applyNumberFormat="1">
      <alignment horizontal="right" vertical="top"/>
    </xf>
    <xf borderId="0" fillId="0" fontId="2" numFmtId="165" xfId="0" applyAlignment="1" applyFont="1" applyNumberFormat="1">
      <alignment horizontal="left" vertical="top"/>
    </xf>
    <xf borderId="0" fillId="0" fontId="2" numFmtId="165" xfId="0" applyAlignment="1" applyFont="1" applyNumberFormat="1">
      <alignment horizontal="right" vertical="top"/>
    </xf>
    <xf borderId="0" fillId="0" fontId="16" numFmtId="164" xfId="0" applyAlignment="1" applyFont="1" applyNumberFormat="1">
      <alignment horizontal="left" readingOrder="0" vertical="top"/>
    </xf>
    <xf borderId="0" fillId="0" fontId="16" numFmtId="0" xfId="0" applyAlignment="1" applyFont="1">
      <alignment horizontal="left" readingOrder="0" vertical="top"/>
    </xf>
    <xf borderId="0" fillId="0" fontId="16" numFmtId="165" xfId="0" applyAlignment="1" applyFont="1" applyNumberFormat="1">
      <alignment horizontal="right" vertical="top"/>
    </xf>
    <xf borderId="0" fillId="0" fontId="16" numFmtId="165" xfId="0" applyAlignment="1" applyFont="1" applyNumberFormat="1">
      <alignment horizontal="right" readingOrder="0" vertical="top"/>
    </xf>
    <xf borderId="0" fillId="0" fontId="17" numFmtId="0" xfId="0" applyAlignment="1" applyFont="1">
      <alignment horizontal="left" readingOrder="0" vertical="top"/>
    </xf>
    <xf borderId="5" fillId="0" fontId="8" numFmtId="167" xfId="0" applyAlignment="1" applyBorder="1" applyFont="1" applyNumberFormat="1">
      <alignment horizontal="center" shrinkToFit="1" vertical="top" wrapText="0"/>
    </xf>
    <xf borderId="0" fillId="0" fontId="2" numFmtId="164" xfId="0" applyAlignment="1" applyFont="1" applyNumberFormat="1">
      <alignment horizontal="left" vertical="top"/>
    </xf>
    <xf borderId="6" fillId="0" fontId="8" numFmtId="167" xfId="0" applyAlignment="1" applyBorder="1" applyFont="1" applyNumberFormat="1">
      <alignment horizontal="center" shrinkToFit="1" vertical="top" wrapText="0"/>
    </xf>
    <xf borderId="4" fillId="0" fontId="12" numFmtId="169" xfId="0" applyAlignment="1" applyBorder="1" applyFont="1" applyNumberFormat="1">
      <alignment horizontal="center" shrinkToFit="1" vertical="top" wrapText="0"/>
    </xf>
    <xf borderId="0" fillId="0" fontId="1" numFmtId="165" xfId="0" applyAlignment="1" applyFont="1" applyNumberFormat="1">
      <alignment horizontal="left" vertical="top"/>
    </xf>
    <xf borderId="0" fillId="0" fontId="2" numFmtId="170" xfId="0" applyAlignment="1" applyFont="1" applyNumberFormat="1">
      <alignment horizontal="right" vertical="top"/>
    </xf>
    <xf borderId="0" fillId="0" fontId="1" numFmtId="170" xfId="0" applyAlignment="1" applyFont="1" applyNumberFormat="1">
      <alignment horizontal="right" vertical="top"/>
    </xf>
    <xf borderId="0" fillId="0" fontId="16" numFmtId="0" xfId="0" applyAlignment="1" applyFont="1">
      <alignment horizontal="left" vertical="top"/>
    </xf>
    <xf borderId="0" fillId="0" fontId="16" numFmtId="170" xfId="0" applyAlignment="1" applyFont="1" applyNumberFormat="1">
      <alignment horizontal="right" vertical="top"/>
    </xf>
    <xf borderId="0" fillId="0" fontId="18" numFmtId="170" xfId="0" applyAlignment="1" applyFont="1" applyNumberFormat="1">
      <alignment horizontal="right" vertical="top"/>
    </xf>
    <xf borderId="0" fillId="0" fontId="1" numFmtId="0" xfId="0" applyAlignment="1" applyFont="1">
      <alignment horizontal="left" vertical="top"/>
    </xf>
    <xf borderId="0" fillId="0" fontId="1" numFmtId="170" xfId="0" applyAlignment="1" applyFont="1" applyNumberFormat="1">
      <alignment horizontal="left" vertical="top"/>
    </xf>
    <xf borderId="0" fillId="0" fontId="19" numFmtId="0" xfId="0" applyAlignment="1" applyFont="1">
      <alignment horizontal="left" readingOrder="0" vertical="top"/>
    </xf>
    <xf borderId="0" fillId="0" fontId="2" numFmtId="0" xfId="0" applyAlignment="1" applyFont="1">
      <alignment horizontal="left" vertical="top"/>
    </xf>
    <xf borderId="0" fillId="0" fontId="18" numFmtId="170" xfId="0" applyAlignment="1" applyFont="1" applyNumberFormat="1">
      <alignment horizontal="right" readingOrder="0" vertical="top"/>
    </xf>
    <xf borderId="0" fillId="0" fontId="20" numFmtId="164" xfId="0" applyAlignment="1" applyFont="1" applyNumberFormat="1">
      <alignment horizontal="left" readingOrder="0" vertical="top"/>
    </xf>
    <xf borderId="0" fillId="0" fontId="20" numFmtId="0" xfId="0" applyAlignment="1" applyFont="1">
      <alignment horizontal="left" readingOrder="0" vertical="top"/>
    </xf>
    <xf borderId="0" fillId="0" fontId="20" numFmtId="165" xfId="0" applyAlignment="1" applyFont="1" applyNumberFormat="1">
      <alignment horizontal="right" readingOrder="0" vertical="top"/>
    </xf>
    <xf borderId="0" fillId="0" fontId="1" numFmtId="164" xfId="0" applyAlignment="1" applyFont="1" applyNumberFormat="1">
      <alignment horizontal="right" readingOrder="0" vertical="top"/>
    </xf>
    <xf borderId="4" fillId="0" fontId="21" numFmtId="167" xfId="0" applyAlignment="1" applyBorder="1" applyFont="1" applyNumberFormat="1">
      <alignment horizontal="center" shrinkToFit="1" vertical="top" wrapText="0"/>
    </xf>
    <xf borderId="1" fillId="0" fontId="12" numFmtId="168" xfId="0" applyAlignment="1" applyBorder="1" applyFont="1" applyNumberFormat="1">
      <alignment horizontal="left" shrinkToFit="1" vertical="top" wrapText="0"/>
    </xf>
    <xf borderId="4" fillId="0" fontId="9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center" shrinkToFit="0" vertical="top" wrapText="1"/>
    </xf>
    <xf borderId="1" fillId="0" fontId="9" numFmtId="0" xfId="0" applyAlignment="1" applyBorder="1" applyFont="1">
      <alignment horizontal="left" shrinkToFit="0" vertical="top" wrapText="1"/>
    </xf>
    <xf borderId="0" fillId="0" fontId="5" numFmtId="0" xfId="0" applyAlignment="1" applyFont="1">
      <alignment horizontal="left"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0" fontId="4" numFmtId="0" xfId="0" applyAlignment="1" applyBorder="1" applyFont="1">
      <alignment horizontal="left" vertical="top"/>
    </xf>
    <xf borderId="4" fillId="3" fontId="7" numFmtId="171" xfId="0" applyAlignment="1" applyBorder="1" applyFont="1" applyNumberFormat="1">
      <alignment horizontal="center" shrinkToFit="1" vertical="top" wrapText="0"/>
    </xf>
    <xf borderId="4" fillId="3" fontId="7" numFmtId="167" xfId="0" applyAlignment="1" applyBorder="1" applyFont="1" applyNumberFormat="1">
      <alignment horizontal="center" shrinkToFit="1" vertical="top" wrapText="0"/>
    </xf>
    <xf borderId="1" fillId="3" fontId="7" numFmtId="167" xfId="0" applyAlignment="1" applyBorder="1" applyFont="1" applyNumberFormat="1">
      <alignment horizontal="left" shrinkToFit="1" vertical="top" wrapText="0"/>
    </xf>
    <xf borderId="0" fillId="0" fontId="22" numFmtId="165" xfId="0" applyAlignment="1" applyFont="1" applyNumberFormat="1">
      <alignment horizontal="left" vertical="top"/>
    </xf>
    <xf borderId="0" fillId="0" fontId="23" numFmtId="0" xfId="0" applyAlignment="1" applyFont="1">
      <alignment horizontal="left" shrinkToFit="0" vertical="top" wrapText="0"/>
    </xf>
    <xf borderId="4" fillId="4" fontId="6" numFmtId="0" xfId="0" applyAlignment="1" applyBorder="1" applyFill="1" applyFont="1">
      <alignment horizontal="center" shrinkToFit="0" vertical="top" wrapText="1"/>
    </xf>
    <xf borderId="4" fillId="4" fontId="6" numFmtId="0" xfId="0" applyAlignment="1" applyBorder="1" applyFont="1">
      <alignment horizontal="left" shrinkToFit="0" vertical="top" wrapText="1"/>
    </xf>
    <xf borderId="4" fillId="0" fontId="24" numFmtId="168" xfId="0" applyAlignment="1" applyBorder="1" applyFont="1" applyNumberFormat="1">
      <alignment horizontal="center" shrinkToFit="1" vertical="top" wrapText="0"/>
    </xf>
    <xf borderId="4" fillId="0" fontId="24" numFmtId="169" xfId="0" applyAlignment="1" applyBorder="1" applyFont="1" applyNumberFormat="1">
      <alignment horizontal="center" shrinkToFit="1" vertical="top" wrapText="0"/>
    </xf>
    <xf borderId="4" fillId="4" fontId="24" numFmtId="168" xfId="0" applyAlignment="1" applyBorder="1" applyFont="1" applyNumberFormat="1">
      <alignment horizontal="center" shrinkToFit="1" vertical="top" wrapText="0"/>
    </xf>
    <xf borderId="1" fillId="3" fontId="3" numFmtId="0" xfId="0" applyAlignment="1" applyBorder="1" applyFont="1">
      <alignment horizontal="left" shrinkToFit="0" vertical="top" wrapText="1"/>
    </xf>
    <xf borderId="4" fillId="3" fontId="3" numFmtId="0" xfId="0" applyAlignment="1" applyBorder="1" applyFont="1">
      <alignment horizontal="center" shrinkToFit="0" vertical="top" wrapText="1"/>
    </xf>
    <xf borderId="4" fillId="3" fontId="5" numFmtId="0" xfId="0" applyAlignment="1" applyBorder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top" wrapText="1"/>
    </xf>
    <xf borderId="9" fillId="0" fontId="25" numFmtId="0" xfId="0" applyAlignment="1" applyBorder="1" applyFont="1">
      <alignment horizontal="left" shrinkToFit="0" vertical="top" wrapText="1"/>
    </xf>
    <xf borderId="7" fillId="0" fontId="4" numFmtId="0" xfId="0" applyAlignment="1" applyBorder="1" applyFont="1">
      <alignment horizontal="left" vertical="top"/>
    </xf>
    <xf borderId="10" fillId="0" fontId="5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top" wrapText="1"/>
    </xf>
    <xf borderId="11" fillId="0" fontId="25" numFmtId="0" xfId="0" applyAlignment="1" applyBorder="1" applyFont="1">
      <alignment horizontal="left" shrinkToFit="0" vertical="top" wrapText="1"/>
    </xf>
    <xf borderId="12" fillId="0" fontId="4" numFmtId="0" xfId="0" applyAlignment="1" applyBorder="1" applyFont="1">
      <alignment horizontal="left" vertical="top"/>
    </xf>
    <xf borderId="13" fillId="0" fontId="5" numFmtId="0" xfId="0" applyAlignment="1" applyBorder="1" applyFont="1">
      <alignment horizontal="left" shrinkToFit="0" vertical="bottom" wrapText="1"/>
    </xf>
    <xf borderId="14" fillId="0" fontId="4" numFmtId="0" xfId="0" applyAlignment="1" applyBorder="1" applyFont="1">
      <alignment horizontal="left" vertical="top"/>
    </xf>
    <xf borderId="15" fillId="0" fontId="4" numFmtId="0" xfId="0" applyAlignment="1" applyBorder="1" applyFont="1">
      <alignment horizontal="left" vertical="top"/>
    </xf>
    <xf borderId="1" fillId="0" fontId="5" numFmtId="0" xfId="0" applyAlignment="1" applyBorder="1" applyFont="1">
      <alignment horizontal="left" shrinkToFit="0" vertical="bottom" wrapText="1"/>
    </xf>
    <xf borderId="4" fillId="0" fontId="5" numFmtId="0" xfId="0" applyAlignment="1" applyBorder="1" applyFont="1">
      <alignment horizontal="left" shrinkToFit="0" vertical="bottom" wrapText="1"/>
    </xf>
    <xf borderId="1" fillId="0" fontId="25" numFmtId="0" xfId="0" applyAlignment="1" applyBorder="1" applyFont="1">
      <alignment horizontal="left" shrinkToFit="0" vertical="top" wrapText="1"/>
    </xf>
    <xf borderId="4" fillId="0" fontId="26" numFmtId="170" xfId="0" applyAlignment="1" applyBorder="1" applyFont="1" applyNumberFormat="1">
      <alignment horizontal="center" shrinkToFit="1" vertical="top" wrapText="0"/>
    </xf>
    <xf borderId="16" fillId="0" fontId="25" numFmtId="0" xfId="0" applyAlignment="1" applyBorder="1" applyFont="1">
      <alignment horizontal="left" shrinkToFit="0" vertical="top" wrapText="1"/>
    </xf>
    <xf borderId="17" fillId="0" fontId="5" numFmtId="0" xfId="0" applyAlignment="1" applyBorder="1" applyFont="1">
      <alignment horizontal="left" shrinkToFit="0" vertical="bottom" wrapText="1"/>
    </xf>
    <xf borderId="4" fillId="0" fontId="27" numFmtId="170" xfId="0" applyAlignment="1" applyBorder="1" applyFont="1" applyNumberFormat="1">
      <alignment horizontal="center" shrinkToFit="1" vertical="top" wrapText="0"/>
    </xf>
    <xf borderId="0" fillId="0" fontId="20" numFmtId="165" xfId="0" applyAlignment="1" applyFont="1" applyNumberFormat="1">
      <alignment horizontal="left" readingOrder="0" vertical="top"/>
    </xf>
    <xf borderId="4" fillId="0" fontId="28" numFmtId="170" xfId="0" applyAlignment="1" applyBorder="1" applyFont="1" applyNumberFormat="1">
      <alignment horizontal="center" shrinkToFit="1" vertical="top" wrapText="0"/>
    </xf>
    <xf borderId="0" fillId="0" fontId="16" numFmtId="165" xfId="0" applyAlignment="1" applyFont="1" applyNumberFormat="1">
      <alignment horizontal="left" readingOrder="0" vertical="top"/>
    </xf>
    <xf borderId="10" fillId="0" fontId="5" numFmtId="0" xfId="0" applyAlignment="1" applyBorder="1" applyFont="1">
      <alignment horizontal="left" shrinkToFit="0" vertical="top" wrapText="1"/>
    </xf>
    <xf borderId="18" fillId="0" fontId="4" numFmtId="0" xfId="0" applyAlignment="1" applyBorder="1" applyFont="1">
      <alignment horizontal="left" vertical="top"/>
    </xf>
    <xf borderId="19" fillId="0" fontId="5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shrinkToFit="0" vertical="top" wrapText="1"/>
    </xf>
    <xf borderId="3" fillId="0" fontId="29" numFmtId="170" xfId="0" applyAlignment="1" applyBorder="1" applyFont="1" applyNumberFormat="1">
      <alignment horizontal="center" shrinkToFit="1" vertical="top" wrapText="0"/>
    </xf>
    <xf borderId="20" fillId="5" fontId="29" numFmtId="172" xfId="0" applyAlignment="1" applyBorder="1" applyFill="1" applyFont="1" applyNumberFormat="1">
      <alignment horizontal="right" shrinkToFit="1" vertical="top" wrapText="0"/>
    </xf>
    <xf borderId="15" fillId="0" fontId="5" numFmtId="0" xfId="0" applyAlignment="1" applyBorder="1" applyFont="1">
      <alignment horizontal="left" shrinkToFit="0" vertical="top" wrapText="1"/>
    </xf>
    <xf borderId="1" fillId="0" fontId="25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shrinkToFit="0" vertical="bottom" wrapText="1"/>
    </xf>
    <xf borderId="4" fillId="0" fontId="25" numFmtId="0" xfId="0" applyAlignment="1" applyBorder="1" applyFont="1">
      <alignment horizontal="left" shrinkToFit="0" vertical="top" wrapText="1"/>
    </xf>
    <xf borderId="4" fillId="0" fontId="25" numFmtId="0" xfId="0" applyAlignment="1" applyBorder="1" applyFont="1">
      <alignment horizontal="center" shrinkToFit="0" vertical="top" wrapText="1"/>
    </xf>
    <xf borderId="4" fillId="0" fontId="5" numFmtId="0" xfId="0" applyAlignment="1" applyBorder="1" applyFont="1">
      <alignment horizontal="left" shrinkToFit="0" vertical="center" wrapText="1"/>
    </xf>
    <xf borderId="0" fillId="0" fontId="30" numFmtId="0" xfId="0" applyAlignment="1" applyFont="1">
      <alignment horizontal="left" readingOrder="0" vertical="top"/>
    </xf>
    <xf borderId="1" fillId="0" fontId="5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left" shrinkToFit="0" vertical="center" wrapText="1"/>
    </xf>
    <xf borderId="4" fillId="0" fontId="31" numFmtId="170" xfId="0" applyAlignment="1" applyBorder="1" applyFont="1" applyNumberFormat="1">
      <alignment horizontal="center" shrinkToFit="1" vertical="top" wrapText="0"/>
    </xf>
    <xf borderId="0" fillId="0" fontId="22" numFmtId="165" xfId="0" applyAlignment="1" applyFont="1" applyNumberFormat="1">
      <alignment horizontal="right" readingOrder="0" vertical="top"/>
    </xf>
    <xf borderId="3" fillId="0" fontId="32" numFmtId="170" xfId="0" applyAlignment="1" applyBorder="1" applyFont="1" applyNumberFormat="1">
      <alignment horizontal="center" shrinkToFit="1" vertical="top" wrapText="0"/>
    </xf>
    <xf borderId="0" fillId="0" fontId="16" numFmtId="165" xfId="0" applyAlignment="1" applyFont="1" applyNumberFormat="1">
      <alignment horizontal="left" vertical="top"/>
    </xf>
    <xf borderId="4" fillId="0" fontId="5" numFmtId="0" xfId="0" applyAlignment="1" applyBorder="1" applyFont="1">
      <alignment horizontal="left" shrinkToFit="0" vertical="top" wrapText="1"/>
    </xf>
    <xf borderId="4" fillId="0" fontId="27" numFmtId="170" xfId="0" applyAlignment="1" applyBorder="1" applyFont="1" applyNumberFormat="1">
      <alignment horizontal="left" shrinkToFit="1" vertical="top" wrapText="0"/>
    </xf>
    <xf borderId="4" fillId="0" fontId="33" numFmtId="170" xfId="0" applyAlignment="1" applyBorder="1" applyFont="1" applyNumberFormat="1">
      <alignment horizontal="left" shrinkToFit="1" vertical="top" wrapText="0"/>
    </xf>
    <xf borderId="4" fillId="0" fontId="33" numFmtId="170" xfId="0" applyAlignment="1" applyBorder="1" applyFont="1" applyNumberFormat="1">
      <alignment horizontal="center" shrinkToFit="1" vertical="top" wrapText="0"/>
    </xf>
    <xf borderId="0" fillId="0" fontId="22" numFmtId="165" xfId="0" applyAlignment="1" applyFont="1" applyNumberFormat="1">
      <alignment horizontal="right" vertical="top"/>
    </xf>
    <xf borderId="0" fillId="0" fontId="22" numFmtId="165" xfId="0" applyAlignment="1" applyFont="1" applyNumberFormat="1">
      <alignment horizontal="right" readingOrder="0" vertical="top"/>
    </xf>
    <xf borderId="4" fillId="3" fontId="5" numFmtId="0" xfId="0" applyAlignment="1" applyBorder="1" applyFont="1">
      <alignment horizontal="left" shrinkToFit="0" vertical="top" wrapText="1"/>
    </xf>
    <xf borderId="4" fillId="3" fontId="5" numFmtId="0" xfId="0" applyAlignment="1" applyBorder="1" applyFont="1">
      <alignment horizontal="center" shrinkToFit="0" vertical="top" wrapText="1"/>
    </xf>
    <xf borderId="0" fillId="0" fontId="22" numFmtId="173" xfId="0" applyAlignment="1" applyFont="1" applyNumberFormat="1">
      <alignment horizontal="right" readingOrder="0" vertical="top"/>
    </xf>
    <xf borderId="0" fillId="0" fontId="22" numFmtId="173" xfId="0" applyAlignment="1" applyFont="1" applyNumberFormat="1">
      <alignment horizontal="right" vertical="top"/>
    </xf>
    <xf borderId="21" fillId="6" fontId="5" numFmtId="0" xfId="0" applyAlignment="1" applyBorder="1" applyFill="1" applyFont="1">
      <alignment horizontal="left" shrinkToFit="0" vertical="center" wrapText="1"/>
    </xf>
    <xf borderId="21" fillId="6" fontId="3" numFmtId="0" xfId="0" applyAlignment="1" applyBorder="1" applyFont="1">
      <alignment horizontal="left" shrinkToFit="0" vertical="top" wrapText="1"/>
    </xf>
    <xf borderId="21" fillId="6" fontId="29" numFmtId="170" xfId="0" applyAlignment="1" applyBorder="1" applyFont="1" applyNumberFormat="1">
      <alignment horizontal="center" shrinkToFit="1" vertical="top" wrapText="0"/>
    </xf>
    <xf borderId="21" fillId="6" fontId="29" numFmtId="170" xfId="0" applyAlignment="1" applyBorder="1" applyFont="1" applyNumberFormat="1">
      <alignment horizontal="left" shrinkToFit="1" vertical="top" wrapText="0"/>
    </xf>
    <xf borderId="22" fillId="6" fontId="29" numFmtId="170" xfId="0" applyAlignment="1" applyBorder="1" applyFont="1" applyNumberFormat="1">
      <alignment horizontal="center" shrinkToFit="1" vertical="top" wrapText="0"/>
    </xf>
    <xf borderId="23" fillId="6" fontId="3" numFmtId="0" xfId="0" applyAlignment="1" applyBorder="1" applyFont="1">
      <alignment horizontal="left" shrinkToFit="0" vertical="top" wrapText="1"/>
    </xf>
    <xf borderId="24" fillId="0" fontId="4" numFmtId="0" xfId="0" applyAlignment="1" applyBorder="1" applyFont="1">
      <alignment horizontal="left" vertical="top"/>
    </xf>
    <xf borderId="25" fillId="0" fontId="4" numFmtId="0" xfId="0" applyAlignment="1" applyBorder="1" applyFont="1">
      <alignment horizontal="left" vertical="top"/>
    </xf>
    <xf borderId="4" fillId="7" fontId="29" numFmtId="170" xfId="0" applyAlignment="1" applyBorder="1" applyFill="1" applyFont="1" applyNumberFormat="1">
      <alignment horizontal="center" shrinkToFit="1" vertical="top" wrapText="0"/>
    </xf>
    <xf borderId="4" fillId="6" fontId="6" numFmtId="0" xfId="0" applyAlignment="1" applyBorder="1" applyFont="1">
      <alignment horizontal="left" shrinkToFit="0" vertical="top" wrapText="1"/>
    </xf>
    <xf borderId="1" fillId="6" fontId="7" numFmtId="170" xfId="0" applyAlignment="1" applyBorder="1" applyFont="1" applyNumberFormat="1">
      <alignment horizontal="left" shrinkToFit="1" vertical="top" wrapText="0"/>
    </xf>
    <xf borderId="1" fillId="0" fontId="8" numFmtId="170" xfId="0" applyAlignment="1" applyBorder="1" applyFont="1" applyNumberFormat="1">
      <alignment horizontal="left" shrinkToFit="1" vertical="top" wrapText="0"/>
    </xf>
    <xf borderId="0" fillId="0" fontId="1" numFmtId="0" xfId="0" applyAlignment="1" applyFont="1">
      <alignment horizontal="left" vertical="top"/>
    </xf>
    <xf borderId="3" fillId="0" fontId="12" numFmtId="174" xfId="0" applyAlignment="1" applyBorder="1" applyFont="1" applyNumberFormat="1">
      <alignment horizontal="right" shrinkToFit="1" vertical="top" wrapText="0"/>
    </xf>
    <xf borderId="0" fillId="0" fontId="1" numFmtId="165" xfId="0" applyAlignment="1" applyFont="1" applyNumberFormat="1">
      <alignment horizontal="left" vertical="top"/>
    </xf>
    <xf borderId="0" fillId="0" fontId="34" numFmtId="173" xfId="0" applyAlignment="1" applyFont="1" applyNumberFormat="1">
      <alignment horizontal="left" vertical="top"/>
    </xf>
    <xf borderId="0" fillId="0" fontId="34" numFmtId="0" xfId="0" applyAlignment="1" applyFont="1">
      <alignment horizontal="left" vertical="top"/>
    </xf>
    <xf borderId="0" fillId="0" fontId="34" numFmtId="0" xfId="0" applyAlignment="1" applyFont="1">
      <alignment horizontal="left" readingOrder="0" vertical="top"/>
    </xf>
    <xf borderId="1" fillId="8" fontId="3" numFmtId="0" xfId="0" applyAlignment="1" applyBorder="1" applyFill="1" applyFont="1">
      <alignment horizontal="center" shrinkToFit="0" vertical="top" wrapText="1"/>
    </xf>
    <xf borderId="4" fillId="9" fontId="3" numFmtId="0" xfId="0" applyAlignment="1" applyBorder="1" applyFill="1" applyFont="1">
      <alignment horizontal="center" shrinkToFit="0" vertical="top" wrapText="1"/>
    </xf>
    <xf borderId="1" fillId="9" fontId="3" numFmtId="0" xfId="0" applyAlignment="1" applyBorder="1" applyFont="1">
      <alignment horizontal="center" shrinkToFit="0" vertical="top" wrapText="1"/>
    </xf>
    <xf borderId="4" fillId="9" fontId="3" numFmtId="0" xfId="0" applyAlignment="1" applyBorder="1" applyFont="1">
      <alignment horizontal="left" shrinkToFit="0" vertical="top" wrapText="1"/>
    </xf>
    <xf borderId="10" fillId="9" fontId="3" numFmtId="0" xfId="0" applyAlignment="1" applyBorder="1" applyFont="1">
      <alignment horizontal="left" shrinkToFit="0" vertical="top" wrapText="1"/>
    </xf>
    <xf borderId="1" fillId="5" fontId="3" numFmtId="0" xfId="0" applyAlignment="1" applyBorder="1" applyFont="1">
      <alignment horizontal="left" shrinkToFit="0" vertical="top" wrapText="1"/>
    </xf>
    <xf borderId="4" fillId="5" fontId="29" numFmtId="167" xfId="0" applyAlignment="1" applyBorder="1" applyFont="1" applyNumberFormat="1">
      <alignment horizontal="left" shrinkToFit="1" vertical="top" wrapText="0"/>
    </xf>
    <xf borderId="4" fillId="0" fontId="26" numFmtId="167" xfId="0" applyAlignment="1" applyBorder="1" applyFont="1" applyNumberFormat="1">
      <alignment horizontal="left" shrinkToFit="1" vertical="top" wrapText="0"/>
    </xf>
    <xf borderId="4" fillId="9" fontId="35" numFmtId="0" xfId="0" applyAlignment="1" applyBorder="1" applyFont="1">
      <alignment horizontal="center" shrinkToFit="0" vertical="top" wrapText="1"/>
    </xf>
    <xf borderId="4" fillId="0" fontId="28" numFmtId="0" xfId="0" applyAlignment="1" applyBorder="1" applyFont="1">
      <alignment horizontal="left" shrinkToFit="0" vertical="top" wrapText="1"/>
    </xf>
    <xf borderId="4" fillId="0" fontId="28" numFmtId="167" xfId="0" applyAlignment="1" applyBorder="1" applyFont="1" applyNumberFormat="1">
      <alignment horizontal="left" shrinkToFit="1" vertical="top" wrapText="0"/>
    </xf>
    <xf borderId="4" fillId="0" fontId="28" numFmtId="0" xfId="0" applyAlignment="1" applyBorder="1" applyFont="1">
      <alignment horizontal="center" shrinkToFit="0" vertical="top" wrapText="1"/>
    </xf>
    <xf borderId="0" fillId="0" fontId="20" numFmtId="0" xfId="0" applyAlignment="1" applyFont="1">
      <alignment horizontal="left" vertical="top"/>
    </xf>
    <xf borderId="26" fillId="0" fontId="4" numFmtId="0" xfId="0" applyAlignment="1" applyBorder="1" applyFont="1">
      <alignment horizontal="left" vertical="top"/>
    </xf>
    <xf borderId="4" fillId="0" fontId="36" numFmtId="168" xfId="0" applyAlignment="1" applyBorder="1" applyFont="1" applyNumberFormat="1">
      <alignment horizontal="left" shrinkToFit="1" vertical="top" wrapText="0"/>
    </xf>
    <xf borderId="4" fillId="0" fontId="26" numFmtId="175" xfId="0" applyAlignment="1" applyBorder="1" applyFont="1" applyNumberFormat="1">
      <alignment horizontal="center" shrinkToFit="1" vertical="top" wrapText="0"/>
    </xf>
    <xf borderId="7" fillId="0" fontId="5" numFmtId="0" xfId="0" applyAlignment="1" applyBorder="1" applyFont="1">
      <alignment horizontal="left" shrinkToFit="0" vertical="bottom" wrapText="1"/>
    </xf>
    <xf borderId="4" fillId="9" fontId="29" numFmtId="167" xfId="0" applyAlignment="1" applyBorder="1" applyFont="1" applyNumberFormat="1">
      <alignment horizontal="left" shrinkToFit="1" vertical="top" wrapText="0"/>
    </xf>
    <xf borderId="4" fillId="9" fontId="37" numFmtId="168" xfId="0" applyAlignment="1" applyBorder="1" applyFont="1" applyNumberFormat="1">
      <alignment horizontal="left" shrinkToFit="1" vertical="top" wrapText="0"/>
    </xf>
    <xf borderId="9" fillId="0" fontId="5" numFmtId="0" xfId="0" applyAlignment="1" applyBorder="1" applyFont="1">
      <alignment horizontal="left" shrinkToFit="0" vertical="bottom" wrapText="1"/>
    </xf>
    <xf borderId="0" fillId="0" fontId="5" numFmtId="0" xfId="0" applyAlignment="1" applyFont="1">
      <alignment horizontal="left" shrinkToFit="0" vertical="bottom" wrapText="1"/>
    </xf>
    <xf borderId="27" fillId="0" fontId="4" numFmtId="0" xfId="0" applyAlignment="1" applyBorder="1" applyFont="1">
      <alignment horizontal="left" vertical="top"/>
    </xf>
    <xf borderId="4" fillId="10" fontId="3" numFmtId="0" xfId="0" applyAlignment="1" applyBorder="1" applyFill="1" applyFont="1">
      <alignment horizontal="left" shrinkToFit="0" vertical="top" wrapText="1"/>
    </xf>
    <xf borderId="1" fillId="10" fontId="29" numFmtId="167" xfId="0" applyAlignment="1" applyBorder="1" applyFont="1" applyNumberFormat="1">
      <alignment horizontal="left" shrinkToFit="1" vertical="top" wrapText="0"/>
    </xf>
    <xf borderId="15" fillId="0" fontId="5" numFmtId="0" xfId="0" applyAlignment="1" applyBorder="1" applyFont="1">
      <alignment horizontal="left" shrinkToFit="0" vertical="bottom" wrapText="1"/>
    </xf>
    <xf borderId="0" fillId="11" fontId="38" numFmtId="0" xfId="0" applyAlignment="1" applyFill="1" applyFont="1">
      <alignment horizontal="left" readingOrder="0" vertical="top"/>
    </xf>
    <xf borderId="0" fillId="11" fontId="38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7" width="15.86"/>
    <col customWidth="1" min="8" max="8" width="9.43"/>
    <col customWidth="1" min="9" max="9" width="16.0"/>
    <col customWidth="1" min="10" max="10" width="13.86"/>
    <col customWidth="1" min="11" max="11" width="24.29"/>
    <col customWidth="1" min="12" max="12" width="12.14"/>
    <col customWidth="1" min="13" max="13" width="25.0"/>
    <col customWidth="1" min="14" max="14" width="8.71"/>
    <col customWidth="1" min="15" max="15" width="25.29"/>
    <col customWidth="1" min="16" max="16" width="10.71"/>
    <col customWidth="1" min="17" max="19" width="8.71"/>
  </cols>
  <sheetData>
    <row r="1" ht="16.5" customHeight="1">
      <c r="C1" s="6"/>
      <c r="D1" s="6"/>
      <c r="E1" s="6"/>
      <c r="F1" s="6"/>
      <c r="G1" s="6"/>
      <c r="H1" s="6"/>
    </row>
    <row r="2" ht="16.5" customHeight="1">
      <c r="B2" s="7" t="s">
        <v>14</v>
      </c>
      <c r="C2" s="8"/>
      <c r="D2" s="8"/>
      <c r="E2" s="8"/>
      <c r="F2" s="8"/>
      <c r="G2" s="8"/>
      <c r="H2" s="9"/>
    </row>
    <row r="3" ht="16.5" customHeight="1">
      <c r="A3" s="10"/>
      <c r="B3" s="10" t="s">
        <v>17</v>
      </c>
    </row>
    <row r="4" ht="16.5" customHeight="1">
      <c r="C4" s="6"/>
      <c r="D4" s="6"/>
      <c r="E4" s="6"/>
      <c r="F4" s="6"/>
      <c r="G4" s="6"/>
      <c r="H4" s="6"/>
    </row>
    <row r="5" ht="38.25" customHeight="1">
      <c r="A5" s="11"/>
      <c r="B5" s="11" t="s">
        <v>18</v>
      </c>
    </row>
    <row r="6" ht="38.25" customHeight="1">
      <c r="B6" s="12" t="s">
        <v>19</v>
      </c>
      <c r="C6" s="12" t="s">
        <v>20</v>
      </c>
      <c r="D6" s="13" t="s">
        <v>21</v>
      </c>
      <c r="E6" s="12" t="s">
        <v>22</v>
      </c>
      <c r="F6" s="13" t="s">
        <v>23</v>
      </c>
      <c r="G6" s="12" t="s">
        <v>24</v>
      </c>
      <c r="H6" s="12" t="s">
        <v>25</v>
      </c>
      <c r="I6" s="1" t="s">
        <v>26</v>
      </c>
      <c r="J6" s="1" t="s">
        <v>6</v>
      </c>
    </row>
    <row r="7" ht="13.5" customHeight="1">
      <c r="A7" s="14"/>
      <c r="B7" s="15">
        <v>1.0</v>
      </c>
      <c r="C7" s="16" t="s">
        <v>27</v>
      </c>
      <c r="D7" s="17" t="s">
        <v>28</v>
      </c>
      <c r="E7" s="18">
        <v>0.0156</v>
      </c>
      <c r="F7" s="19">
        <v>249457.0</v>
      </c>
      <c r="G7" s="19">
        <v>249457.0</v>
      </c>
      <c r="H7" s="21" t="s">
        <v>29</v>
      </c>
      <c r="I7" s="2">
        <v>46372.0</v>
      </c>
      <c r="J7" s="22">
        <v>249457.0</v>
      </c>
      <c r="K7" s="1" t="s">
        <v>30</v>
      </c>
    </row>
    <row r="8" ht="13.5" customHeight="1">
      <c r="A8" s="14"/>
      <c r="B8" s="15">
        <v>2.0</v>
      </c>
      <c r="C8" s="16" t="s">
        <v>31</v>
      </c>
      <c r="D8" s="17" t="s">
        <v>32</v>
      </c>
      <c r="E8" s="18">
        <v>0.0107</v>
      </c>
      <c r="F8" s="19">
        <v>180561.0</v>
      </c>
      <c r="G8" s="19">
        <v>180561.0</v>
      </c>
      <c r="H8" s="21" t="s">
        <v>33</v>
      </c>
      <c r="I8" s="2">
        <v>46365.0</v>
      </c>
      <c r="J8" s="22">
        <v>180561.02</v>
      </c>
    </row>
    <row r="9" ht="13.5" customHeight="1">
      <c r="A9" s="14"/>
      <c r="B9" s="15">
        <v>3.0</v>
      </c>
      <c r="C9" s="16" t="s">
        <v>34</v>
      </c>
      <c r="D9" s="17" t="s">
        <v>35</v>
      </c>
      <c r="E9" s="18">
        <v>0.0103</v>
      </c>
      <c r="F9" s="19">
        <v>174934.0</v>
      </c>
      <c r="G9" s="19">
        <v>174934.0</v>
      </c>
      <c r="H9" s="21" t="s">
        <v>36</v>
      </c>
      <c r="I9" s="2">
        <v>46375.0</v>
      </c>
      <c r="J9" s="22">
        <v>174934.0</v>
      </c>
    </row>
    <row r="10" ht="13.5" customHeight="1">
      <c r="A10" s="14"/>
      <c r="B10" s="15">
        <v>4.0</v>
      </c>
      <c r="C10" s="16" t="s">
        <v>37</v>
      </c>
      <c r="D10" s="17" t="s">
        <v>38</v>
      </c>
      <c r="E10" s="18">
        <v>0.0103</v>
      </c>
      <c r="F10" s="19">
        <v>174934.0</v>
      </c>
      <c r="G10" s="23">
        <v>174934.0</v>
      </c>
      <c r="H10" s="21" t="s">
        <v>39</v>
      </c>
      <c r="J10" s="22">
        <v>174934.0</v>
      </c>
    </row>
    <row r="11" ht="13.5" customHeight="1">
      <c r="A11" s="14"/>
      <c r="B11" s="15">
        <v>5.0</v>
      </c>
      <c r="C11" s="16" t="s">
        <v>40</v>
      </c>
      <c r="D11" s="17" t="s">
        <v>41</v>
      </c>
      <c r="E11" s="18">
        <v>0.0114</v>
      </c>
      <c r="F11" s="19">
        <v>190407.0</v>
      </c>
      <c r="G11" s="19">
        <v>190407.0</v>
      </c>
      <c r="H11" s="21" t="s">
        <v>42</v>
      </c>
      <c r="I11" s="2">
        <v>46378.0</v>
      </c>
      <c r="J11" s="22">
        <v>190407.0</v>
      </c>
      <c r="N11" s="1" t="s">
        <v>43</v>
      </c>
    </row>
    <row r="12" ht="13.5" customHeight="1">
      <c r="A12" s="14"/>
      <c r="B12" s="15">
        <v>6.0</v>
      </c>
      <c r="C12" s="16" t="s">
        <v>45</v>
      </c>
      <c r="D12" s="17" t="s">
        <v>46</v>
      </c>
      <c r="E12" s="18">
        <v>0.0172</v>
      </c>
      <c r="F12" s="19">
        <v>271991.0</v>
      </c>
      <c r="G12" s="19">
        <v>271991.0</v>
      </c>
      <c r="H12" s="21" t="s">
        <v>47</v>
      </c>
      <c r="I12" s="2">
        <v>46368.0</v>
      </c>
      <c r="J12" s="22">
        <v>271991.06</v>
      </c>
      <c r="N12" s="2">
        <v>46360.0</v>
      </c>
      <c r="O12" s="1" t="s">
        <v>48</v>
      </c>
      <c r="P12" s="24">
        <v>173528.0</v>
      </c>
    </row>
    <row r="13" ht="13.5" customHeight="1">
      <c r="A13" s="14"/>
      <c r="B13" s="15">
        <v>7.0</v>
      </c>
      <c r="C13" s="16" t="s">
        <v>50</v>
      </c>
      <c r="D13" s="17" t="s">
        <v>51</v>
      </c>
      <c r="E13" s="18">
        <v>0.016</v>
      </c>
      <c r="F13" s="19">
        <v>515495.0</v>
      </c>
      <c r="G13" s="19">
        <v>242670.0</v>
      </c>
      <c r="H13" s="25">
        <v>272825.0</v>
      </c>
      <c r="I13" s="2">
        <v>46357.0</v>
      </c>
      <c r="J13" s="22">
        <v>242670.0</v>
      </c>
      <c r="N13" s="2">
        <v>46360.0</v>
      </c>
      <c r="O13" s="1" t="s">
        <v>52</v>
      </c>
      <c r="P13" s="24">
        <v>174934.0</v>
      </c>
    </row>
    <row r="14" ht="13.5" customHeight="1">
      <c r="A14" s="14"/>
      <c r="B14" s="15">
        <v>8.0</v>
      </c>
      <c r="C14" s="16" t="s">
        <v>53</v>
      </c>
      <c r="D14" s="17" t="s">
        <v>54</v>
      </c>
      <c r="E14" s="18">
        <v>0.0109</v>
      </c>
      <c r="F14" s="19">
        <v>183374.0</v>
      </c>
      <c r="G14" s="19">
        <v>183374.0</v>
      </c>
      <c r="H14" s="21" t="s">
        <v>55</v>
      </c>
      <c r="I14" s="2">
        <v>46365.0</v>
      </c>
      <c r="J14" s="22">
        <v>183374.0</v>
      </c>
      <c r="N14" s="2">
        <v>46360.0</v>
      </c>
      <c r="O14" s="1" t="s">
        <v>56</v>
      </c>
      <c r="P14" s="24">
        <v>203067.0</v>
      </c>
    </row>
    <row r="15" ht="13.5" customHeight="1">
      <c r="A15" s="14"/>
      <c r="B15" s="15">
        <v>9.0</v>
      </c>
      <c r="C15" s="16" t="s">
        <v>57</v>
      </c>
      <c r="D15" s="17" t="s">
        <v>58</v>
      </c>
      <c r="E15" s="18">
        <v>0.0103</v>
      </c>
      <c r="F15" s="19">
        <v>174934.0</v>
      </c>
      <c r="G15" s="23">
        <v>174934.0</v>
      </c>
      <c r="H15" s="21" t="s">
        <v>59</v>
      </c>
      <c r="J15" s="22">
        <v>174934.0</v>
      </c>
      <c r="N15" s="2">
        <v>46361.0</v>
      </c>
      <c r="O15" s="1" t="s">
        <v>60</v>
      </c>
      <c r="P15" s="24">
        <v>173528.0</v>
      </c>
    </row>
    <row r="16" ht="13.5" customHeight="1">
      <c r="A16" s="14"/>
      <c r="B16" s="15">
        <v>10.0</v>
      </c>
      <c r="C16" s="16" t="s">
        <v>62</v>
      </c>
      <c r="D16" s="17" t="s">
        <v>63</v>
      </c>
      <c r="E16" s="18">
        <v>0.0102</v>
      </c>
      <c r="F16" s="19">
        <v>173528.0</v>
      </c>
      <c r="G16" s="23">
        <v>173528.0</v>
      </c>
      <c r="H16" s="21" t="s">
        <v>64</v>
      </c>
      <c r="J16" s="22">
        <v>173528.0</v>
      </c>
      <c r="N16" s="2">
        <v>46365.0</v>
      </c>
      <c r="O16" s="1" t="s">
        <v>66</v>
      </c>
      <c r="P16" s="24">
        <v>180561.0</v>
      </c>
    </row>
    <row r="17" ht="13.5" customHeight="1">
      <c r="A17" s="14"/>
      <c r="B17" s="15">
        <v>11.0</v>
      </c>
      <c r="C17" s="16" t="s">
        <v>70</v>
      </c>
      <c r="D17" s="17" t="s">
        <v>71</v>
      </c>
      <c r="E17" s="18">
        <v>0.0107</v>
      </c>
      <c r="F17" s="19">
        <v>180561.0</v>
      </c>
      <c r="G17" s="23">
        <v>180561.0</v>
      </c>
      <c r="H17" s="21" t="s">
        <v>73</v>
      </c>
      <c r="J17" s="22">
        <v>180561.0</v>
      </c>
      <c r="N17" s="2">
        <v>46365.0</v>
      </c>
      <c r="O17" s="1" t="s">
        <v>74</v>
      </c>
      <c r="P17" s="28">
        <v>173528.0</v>
      </c>
    </row>
    <row r="18" ht="13.5" customHeight="1">
      <c r="A18" s="14"/>
      <c r="B18" s="15">
        <v>12.0</v>
      </c>
      <c r="C18" s="16" t="s">
        <v>75</v>
      </c>
      <c r="D18" s="17" t="s">
        <v>76</v>
      </c>
      <c r="E18" s="18">
        <v>0.0155</v>
      </c>
      <c r="F18" s="19">
        <v>248079.0</v>
      </c>
      <c r="G18" s="19">
        <v>248079.0</v>
      </c>
      <c r="H18" s="21" t="s">
        <v>77</v>
      </c>
      <c r="I18" s="2">
        <v>46372.0</v>
      </c>
      <c r="J18" s="22">
        <v>248079.0</v>
      </c>
      <c r="K18" s="1" t="s">
        <v>78</v>
      </c>
      <c r="N18" s="2">
        <v>46365.0</v>
      </c>
      <c r="O18" s="1" t="s">
        <v>80</v>
      </c>
      <c r="P18" s="24">
        <v>174934.0</v>
      </c>
    </row>
    <row r="19" ht="13.5" customHeight="1">
      <c r="A19" s="14"/>
      <c r="B19" s="15">
        <v>13.0</v>
      </c>
      <c r="C19" s="16" t="s">
        <v>81</v>
      </c>
      <c r="D19" s="17" t="s">
        <v>82</v>
      </c>
      <c r="E19" s="18">
        <v>0.0159</v>
      </c>
      <c r="F19" s="19">
        <v>253705.0</v>
      </c>
      <c r="G19" s="19">
        <v>253705.0</v>
      </c>
      <c r="H19" s="21" t="s">
        <v>83</v>
      </c>
      <c r="I19" s="2">
        <v>46360.0</v>
      </c>
      <c r="J19" s="22">
        <v>434233.0</v>
      </c>
      <c r="N19" s="2">
        <v>46367.0</v>
      </c>
      <c r="O19" s="1" t="s">
        <v>85</v>
      </c>
      <c r="P19" s="24">
        <v>203067.0</v>
      </c>
    </row>
    <row r="20" ht="13.5" customHeight="1">
      <c r="A20" s="14"/>
      <c r="B20" s="15">
        <v>14.0</v>
      </c>
      <c r="C20" s="16" t="s">
        <v>86</v>
      </c>
      <c r="D20" s="17" t="s">
        <v>87</v>
      </c>
      <c r="E20" s="18">
        <v>0.0107</v>
      </c>
      <c r="F20" s="39">
        <v>180561.0</v>
      </c>
      <c r="G20" s="41">
        <v>180528.0</v>
      </c>
      <c r="H20" s="42">
        <v>33.0</v>
      </c>
      <c r="I20" s="2">
        <v>46360.0</v>
      </c>
      <c r="J20" s="22"/>
      <c r="N20" s="2">
        <v>46368.0</v>
      </c>
      <c r="O20" s="1" t="s">
        <v>90</v>
      </c>
      <c r="P20" s="24">
        <v>173528.0</v>
      </c>
    </row>
    <row r="21" ht="13.5" customHeight="1">
      <c r="A21" s="14"/>
      <c r="B21" s="15">
        <v>15.0</v>
      </c>
      <c r="C21" s="16" t="s">
        <v>92</v>
      </c>
      <c r="D21" s="17" t="s">
        <v>93</v>
      </c>
      <c r="E21" s="18">
        <v>0.0102</v>
      </c>
      <c r="F21" s="19">
        <v>173528.0</v>
      </c>
      <c r="G21" s="23">
        <v>173528.0</v>
      </c>
      <c r="H21" s="21" t="s">
        <v>95</v>
      </c>
      <c r="J21" s="22">
        <v>173528.0</v>
      </c>
      <c r="N21" s="2">
        <v>46371.0</v>
      </c>
      <c r="O21" s="1" t="s">
        <v>96</v>
      </c>
      <c r="P21" s="24">
        <v>203067.0</v>
      </c>
    </row>
    <row r="22" ht="13.5" customHeight="1">
      <c r="A22" s="14"/>
      <c r="B22" s="15">
        <v>16.0</v>
      </c>
      <c r="C22" s="16" t="s">
        <v>98</v>
      </c>
      <c r="D22" s="17" t="s">
        <v>99</v>
      </c>
      <c r="E22" s="18">
        <v>0.0103</v>
      </c>
      <c r="F22" s="19">
        <v>174934.0</v>
      </c>
      <c r="G22" s="19">
        <v>174934.0</v>
      </c>
      <c r="H22" s="21" t="s">
        <v>101</v>
      </c>
      <c r="J22" s="22">
        <v>174934.0</v>
      </c>
      <c r="N22" s="2">
        <v>46371.0</v>
      </c>
      <c r="O22" s="1" t="s">
        <v>102</v>
      </c>
      <c r="P22" s="24">
        <v>174934.0</v>
      </c>
    </row>
    <row r="23" ht="13.5" customHeight="1">
      <c r="A23" s="14"/>
      <c r="B23" s="15">
        <v>17.0</v>
      </c>
      <c r="C23" s="16" t="s">
        <v>103</v>
      </c>
      <c r="D23" s="17" t="s">
        <v>104</v>
      </c>
      <c r="E23" s="18">
        <v>0.0125</v>
      </c>
      <c r="F23" s="19">
        <v>205880.0</v>
      </c>
      <c r="G23" s="21" t="s">
        <v>106</v>
      </c>
      <c r="H23" s="25">
        <v>205880.0</v>
      </c>
      <c r="J23" s="43"/>
      <c r="N23" s="2">
        <v>46372.0</v>
      </c>
      <c r="O23" s="1" t="s">
        <v>107</v>
      </c>
      <c r="P23" s="24">
        <v>173528.0</v>
      </c>
    </row>
    <row r="24" ht="13.5" customHeight="1">
      <c r="A24" s="14"/>
      <c r="B24" s="15">
        <v>18.0</v>
      </c>
      <c r="C24" s="16" t="s">
        <v>109</v>
      </c>
      <c r="D24" s="17" t="s">
        <v>110</v>
      </c>
      <c r="E24" s="18">
        <v>0.0155</v>
      </c>
      <c r="F24" s="19">
        <v>248079.0</v>
      </c>
      <c r="G24" s="19">
        <v>248079.0</v>
      </c>
      <c r="H24" s="21" t="s">
        <v>111</v>
      </c>
      <c r="I24" s="2">
        <v>46365.0</v>
      </c>
      <c r="J24" s="22">
        <v>248079.0</v>
      </c>
      <c r="N24" s="2">
        <v>46379.0</v>
      </c>
      <c r="O24" s="1" t="s">
        <v>112</v>
      </c>
      <c r="P24" s="24">
        <v>174934.0</v>
      </c>
    </row>
    <row r="25" ht="13.5" customHeight="1">
      <c r="A25" s="14"/>
      <c r="B25" s="15">
        <v>19.0</v>
      </c>
      <c r="C25" s="16" t="s">
        <v>114</v>
      </c>
      <c r="D25" s="17" t="s">
        <v>115</v>
      </c>
      <c r="E25" s="18">
        <v>0.0171</v>
      </c>
      <c r="F25" s="19">
        <v>291223.0</v>
      </c>
      <c r="G25" s="19">
        <v>291223.0</v>
      </c>
      <c r="H25" s="21" t="s">
        <v>116</v>
      </c>
      <c r="I25" s="2">
        <v>46378.0</v>
      </c>
      <c r="J25" s="22">
        <v>291223.0</v>
      </c>
    </row>
    <row r="26" ht="13.5" customHeight="1">
      <c r="A26" s="14"/>
      <c r="B26" s="15">
        <v>20.0</v>
      </c>
      <c r="C26" s="16" t="s">
        <v>118</v>
      </c>
      <c r="D26" s="17" t="s">
        <v>119</v>
      </c>
      <c r="E26" s="18">
        <v>0.0107</v>
      </c>
      <c r="F26" s="19">
        <v>180561.0</v>
      </c>
      <c r="G26" s="19">
        <v>180561.0</v>
      </c>
      <c r="H26" s="21" t="s">
        <v>120</v>
      </c>
      <c r="I26" s="2">
        <v>46365.0</v>
      </c>
      <c r="J26" s="22">
        <v>180561.0</v>
      </c>
      <c r="K26" s="1" t="s">
        <v>121</v>
      </c>
    </row>
    <row r="27" ht="13.5" customHeight="1">
      <c r="A27" s="14"/>
      <c r="B27" s="15">
        <v>21.0</v>
      </c>
      <c r="C27" s="16" t="s">
        <v>122</v>
      </c>
      <c r="D27" s="17" t="s">
        <v>123</v>
      </c>
      <c r="E27" s="18">
        <v>0.0119</v>
      </c>
      <c r="F27" s="19">
        <v>383188.0</v>
      </c>
      <c r="G27" s="19">
        <v>383188.0</v>
      </c>
      <c r="H27" s="21" t="s">
        <v>124</v>
      </c>
      <c r="I27" s="2">
        <v>46371.0</v>
      </c>
      <c r="J27" s="22">
        <v>383188.0</v>
      </c>
      <c r="K27" s="1" t="s">
        <v>125</v>
      </c>
    </row>
    <row r="28" ht="13.5" customHeight="1">
      <c r="A28" s="14"/>
      <c r="B28" s="15">
        <v>22.0</v>
      </c>
      <c r="C28" s="16" t="s">
        <v>128</v>
      </c>
      <c r="D28" s="17" t="s">
        <v>129</v>
      </c>
      <c r="E28" s="18">
        <v>0.0119</v>
      </c>
      <c r="F28" s="19">
        <v>197440.0</v>
      </c>
      <c r="G28" s="19">
        <v>197440.0</v>
      </c>
      <c r="H28" s="21" t="s">
        <v>131</v>
      </c>
      <c r="I28" s="2">
        <v>46360.0</v>
      </c>
      <c r="J28" s="22">
        <v>197440.0</v>
      </c>
    </row>
    <row r="29" ht="13.5" customHeight="1">
      <c r="A29" s="14"/>
      <c r="B29" s="15">
        <v>23.0</v>
      </c>
      <c r="C29" s="16" t="s">
        <v>133</v>
      </c>
      <c r="D29" s="17" t="s">
        <v>134</v>
      </c>
      <c r="E29" s="18">
        <v>0.0124</v>
      </c>
      <c r="F29" s="19">
        <v>204473.0</v>
      </c>
      <c r="G29" s="19">
        <v>204473.0</v>
      </c>
      <c r="H29" s="21" t="s">
        <v>136</v>
      </c>
      <c r="I29" s="2">
        <v>46368.0</v>
      </c>
      <c r="J29" s="22">
        <v>204473.0</v>
      </c>
      <c r="K29" s="1" t="s">
        <v>138</v>
      </c>
      <c r="N29" s="2"/>
      <c r="P29" s="5"/>
    </row>
    <row r="30" ht="13.5" customHeight="1">
      <c r="A30" s="14"/>
      <c r="B30" s="15">
        <v>24.0</v>
      </c>
      <c r="C30" s="16" t="s">
        <v>139</v>
      </c>
      <c r="D30" s="17" t="s">
        <v>140</v>
      </c>
      <c r="E30" s="18">
        <v>0.0156</v>
      </c>
      <c r="F30" s="19">
        <v>249485.0</v>
      </c>
      <c r="G30" s="19">
        <v>249485.0</v>
      </c>
      <c r="H30" s="21" t="s">
        <v>141</v>
      </c>
      <c r="I30" s="2">
        <v>46371.0</v>
      </c>
      <c r="J30" s="22">
        <v>249485.0</v>
      </c>
    </row>
    <row r="31" ht="13.5" customHeight="1">
      <c r="A31" s="14"/>
      <c r="B31" s="15">
        <v>25.0</v>
      </c>
      <c r="C31" s="16" t="s">
        <v>143</v>
      </c>
      <c r="D31" s="17" t="s">
        <v>144</v>
      </c>
      <c r="E31" s="18">
        <v>0.0156</v>
      </c>
      <c r="F31" s="19">
        <v>249485.0</v>
      </c>
      <c r="G31" s="19">
        <v>249485.0</v>
      </c>
      <c r="H31" s="21" t="s">
        <v>145</v>
      </c>
      <c r="I31" s="2">
        <v>46361.0</v>
      </c>
      <c r="J31" s="22">
        <v>249485.0</v>
      </c>
    </row>
    <row r="32" ht="13.5" customHeight="1">
      <c r="A32" s="14"/>
      <c r="B32" s="15">
        <v>26.0</v>
      </c>
      <c r="C32" s="16" t="s">
        <v>149</v>
      </c>
      <c r="D32" s="17" t="s">
        <v>150</v>
      </c>
      <c r="E32" s="18">
        <v>0.0108</v>
      </c>
      <c r="F32" s="19">
        <v>181968.0</v>
      </c>
      <c r="G32" s="19">
        <v>204537.0</v>
      </c>
      <c r="H32" s="19">
        <v>-22569.0</v>
      </c>
      <c r="I32" s="2">
        <v>46371.0</v>
      </c>
      <c r="J32" s="43">
        <f>M32+O32</f>
        <v>204537</v>
      </c>
      <c r="K32" s="1" t="s">
        <v>159</v>
      </c>
      <c r="L32" s="2">
        <v>45993.0</v>
      </c>
      <c r="M32" s="5">
        <v>159887.0</v>
      </c>
      <c r="N32" s="2">
        <v>46371.0</v>
      </c>
      <c r="O32" s="5">
        <v>44650.0</v>
      </c>
    </row>
    <row r="33" ht="13.5" customHeight="1">
      <c r="A33" s="14"/>
      <c r="B33" s="15">
        <v>27.0</v>
      </c>
      <c r="C33" s="16" t="s">
        <v>161</v>
      </c>
      <c r="D33" s="17" t="s">
        <v>162</v>
      </c>
      <c r="E33" s="18">
        <v>0.0102</v>
      </c>
      <c r="F33" s="19">
        <v>173528.0</v>
      </c>
      <c r="G33" s="19">
        <v>173528.0</v>
      </c>
      <c r="H33" s="21" t="s">
        <v>165</v>
      </c>
      <c r="I33" s="2">
        <v>46365.0</v>
      </c>
      <c r="J33" s="22">
        <v>173528.0</v>
      </c>
      <c r="P33" s="5"/>
    </row>
    <row r="34" ht="13.5" customHeight="1">
      <c r="A34" s="14"/>
      <c r="B34" s="15">
        <v>28.0</v>
      </c>
      <c r="C34" s="16" t="s">
        <v>166</v>
      </c>
      <c r="D34" s="17" t="s">
        <v>167</v>
      </c>
      <c r="E34" s="18">
        <v>0.0102</v>
      </c>
      <c r="F34" s="19">
        <v>173528.0</v>
      </c>
      <c r="G34" s="19">
        <v>173528.0</v>
      </c>
      <c r="H34" s="21" t="s">
        <v>169</v>
      </c>
      <c r="I34" s="2">
        <v>46373.0</v>
      </c>
      <c r="J34" s="22">
        <v>173528.0</v>
      </c>
      <c r="P34" s="5"/>
    </row>
    <row r="35" ht="13.5" customHeight="1">
      <c r="A35" s="14"/>
      <c r="B35" s="15">
        <v>29.0</v>
      </c>
      <c r="C35" s="16" t="s">
        <v>171</v>
      </c>
      <c r="D35" s="17" t="s">
        <v>174</v>
      </c>
      <c r="E35" s="18">
        <v>0.0112</v>
      </c>
      <c r="F35" s="19">
        <v>187594.0</v>
      </c>
      <c r="G35" s="19">
        <v>187594.0</v>
      </c>
      <c r="H35" s="21" t="s">
        <v>176</v>
      </c>
      <c r="I35" s="2">
        <v>46365.0</v>
      </c>
      <c r="J35" s="22">
        <v>187594.0</v>
      </c>
      <c r="P35" s="5"/>
    </row>
    <row r="36" ht="13.5" customHeight="1">
      <c r="A36" s="14"/>
      <c r="B36" s="15">
        <v>30.0</v>
      </c>
      <c r="C36" s="16" t="s">
        <v>179</v>
      </c>
      <c r="D36" s="17" t="s">
        <v>180</v>
      </c>
      <c r="E36" s="18">
        <v>0.0175</v>
      </c>
      <c r="F36" s="19">
        <v>276211.0</v>
      </c>
      <c r="G36" s="19">
        <v>276211.0</v>
      </c>
      <c r="H36" s="21" t="s">
        <v>182</v>
      </c>
      <c r="I36" s="2">
        <v>46385.0</v>
      </c>
      <c r="J36" s="22">
        <v>276211.0</v>
      </c>
      <c r="P36" s="5"/>
    </row>
    <row r="37" ht="13.5" customHeight="1">
      <c r="A37" s="14"/>
      <c r="B37" s="15">
        <v>31.0</v>
      </c>
      <c r="C37" s="16" t="s">
        <v>184</v>
      </c>
      <c r="D37" s="17" t="s">
        <v>185</v>
      </c>
      <c r="E37" s="18">
        <v>0.0227</v>
      </c>
      <c r="F37" s="19">
        <v>349355.0</v>
      </c>
      <c r="G37" s="19">
        <v>349355.0</v>
      </c>
      <c r="H37" s="21" t="s">
        <v>187</v>
      </c>
      <c r="I37" s="2">
        <v>46361.0</v>
      </c>
      <c r="J37" s="22">
        <v>349355.0</v>
      </c>
      <c r="K37" s="1" t="s">
        <v>188</v>
      </c>
      <c r="P37" s="5"/>
    </row>
    <row r="38" ht="13.5" customHeight="1">
      <c r="A38" s="14"/>
      <c r="B38" s="15">
        <v>32.0</v>
      </c>
      <c r="C38" s="16" t="s">
        <v>189</v>
      </c>
      <c r="D38" s="17" t="s">
        <v>190</v>
      </c>
      <c r="E38" s="18">
        <v>0.0123</v>
      </c>
      <c r="F38" s="19">
        <v>203067.0</v>
      </c>
      <c r="G38" s="23">
        <v>203067.0</v>
      </c>
      <c r="H38" s="21" t="s">
        <v>191</v>
      </c>
      <c r="J38" s="22">
        <v>203067.0</v>
      </c>
      <c r="P38" s="5"/>
    </row>
    <row r="39" ht="13.5" customHeight="1">
      <c r="A39" s="14"/>
      <c r="B39" s="15">
        <v>33.0</v>
      </c>
      <c r="C39" s="16" t="s">
        <v>192</v>
      </c>
      <c r="D39" s="17" t="s">
        <v>193</v>
      </c>
      <c r="E39" s="18">
        <v>0.0118</v>
      </c>
      <c r="F39" s="19">
        <v>196034.0</v>
      </c>
      <c r="G39" s="19">
        <v>196034.0</v>
      </c>
      <c r="H39" s="21" t="s">
        <v>194</v>
      </c>
      <c r="I39" s="2">
        <v>46361.0</v>
      </c>
      <c r="J39" s="22">
        <v>196034.0</v>
      </c>
      <c r="K39" s="1" t="s">
        <v>195</v>
      </c>
      <c r="P39" s="5"/>
    </row>
    <row r="40" ht="13.5" customHeight="1">
      <c r="A40" s="14"/>
      <c r="B40" s="15">
        <v>34.0</v>
      </c>
      <c r="C40" s="16" t="s">
        <v>196</v>
      </c>
      <c r="D40" s="17" t="s">
        <v>197</v>
      </c>
      <c r="E40" s="18">
        <v>0.0139</v>
      </c>
      <c r="F40" s="39">
        <v>437118.0</v>
      </c>
      <c r="G40" s="41">
        <v>437118.0</v>
      </c>
      <c r="H40" s="42">
        <v>0.0</v>
      </c>
      <c r="I40" s="2">
        <v>46371.0</v>
      </c>
      <c r="J40" s="43">
        <f>M40+P40</f>
        <v>437118</v>
      </c>
      <c r="K40" s="1" t="s">
        <v>198</v>
      </c>
      <c r="L40" s="57">
        <v>46357.0</v>
      </c>
      <c r="M40" s="5">
        <v>197154.0</v>
      </c>
      <c r="N40" s="1" t="s">
        <v>199</v>
      </c>
      <c r="O40" s="2">
        <v>46371.0</v>
      </c>
      <c r="P40" s="5">
        <v>239964.0</v>
      </c>
    </row>
    <row r="41" ht="13.5" customHeight="1">
      <c r="A41" s="14"/>
      <c r="B41" s="15">
        <v>35.0</v>
      </c>
      <c r="C41" s="16" t="s">
        <v>200</v>
      </c>
      <c r="D41" s="17" t="s">
        <v>201</v>
      </c>
      <c r="E41" s="18">
        <v>0.0123</v>
      </c>
      <c r="F41" s="19">
        <v>203067.0</v>
      </c>
      <c r="G41" s="19">
        <v>203067.0</v>
      </c>
      <c r="H41" s="21" t="s">
        <v>202</v>
      </c>
      <c r="J41" s="22">
        <v>203067.0</v>
      </c>
    </row>
    <row r="42" ht="15.75" customHeight="1">
      <c r="A42" s="14"/>
      <c r="B42" s="15">
        <v>36.0</v>
      </c>
      <c r="C42" s="16" t="s">
        <v>203</v>
      </c>
      <c r="D42" s="17" t="s">
        <v>204</v>
      </c>
      <c r="E42" s="18">
        <v>0.0157</v>
      </c>
      <c r="F42" s="19">
        <v>250892.0</v>
      </c>
      <c r="G42" s="19">
        <v>250892.0</v>
      </c>
      <c r="H42" s="21" t="s">
        <v>205</v>
      </c>
      <c r="I42" s="2">
        <v>46371.0</v>
      </c>
      <c r="J42" s="22">
        <v>250892.36</v>
      </c>
      <c r="K42" s="1" t="s">
        <v>206</v>
      </c>
    </row>
    <row r="43" ht="15.75" customHeight="1">
      <c r="A43" s="14"/>
      <c r="B43" s="15">
        <v>37.0</v>
      </c>
      <c r="C43" s="16" t="s">
        <v>207</v>
      </c>
      <c r="D43" s="17" t="s">
        <v>208</v>
      </c>
      <c r="E43" s="18">
        <v>0.0155</v>
      </c>
      <c r="F43" s="19">
        <v>248079.0</v>
      </c>
      <c r="G43" s="19">
        <v>248079.0</v>
      </c>
      <c r="H43" s="21" t="s">
        <v>209</v>
      </c>
      <c r="I43" s="2">
        <v>46361.0</v>
      </c>
      <c r="J43" s="22">
        <v>248079.0</v>
      </c>
      <c r="K43" s="1" t="s">
        <v>188</v>
      </c>
    </row>
    <row r="44" ht="15.75" customHeight="1">
      <c r="A44" s="14"/>
      <c r="B44" s="15">
        <v>38.0</v>
      </c>
      <c r="C44" s="16" t="s">
        <v>210</v>
      </c>
      <c r="D44" s="17" t="s">
        <v>211</v>
      </c>
      <c r="E44" s="18">
        <v>0.0114</v>
      </c>
      <c r="F44" s="19">
        <v>190407.0</v>
      </c>
      <c r="G44" s="19">
        <v>190407.0</v>
      </c>
      <c r="H44" s="21" t="s">
        <v>212</v>
      </c>
      <c r="I44" s="2">
        <v>46360.0</v>
      </c>
      <c r="J44" s="22">
        <v>190407.0</v>
      </c>
    </row>
    <row r="45" ht="15.75" customHeight="1">
      <c r="A45" s="14"/>
      <c r="B45" s="15">
        <v>39.0</v>
      </c>
      <c r="C45" s="16" t="s">
        <v>213</v>
      </c>
      <c r="D45" s="17" t="s">
        <v>214</v>
      </c>
      <c r="E45" s="18">
        <v>0.0103</v>
      </c>
      <c r="F45" s="19">
        <v>174934.0</v>
      </c>
      <c r="G45" s="58">
        <v>174934.0</v>
      </c>
      <c r="H45" s="21" t="s">
        <v>215</v>
      </c>
      <c r="J45" s="22">
        <v>174934.0</v>
      </c>
    </row>
    <row r="46" ht="15.75" customHeight="1">
      <c r="A46" s="14"/>
      <c r="B46" s="15">
        <v>40.0</v>
      </c>
      <c r="C46" s="16" t="s">
        <v>216</v>
      </c>
      <c r="D46" s="17" t="s">
        <v>217</v>
      </c>
      <c r="E46" s="18">
        <v>0.0106</v>
      </c>
      <c r="F46" s="19">
        <v>185051.0</v>
      </c>
      <c r="G46" s="19">
        <v>185051.0</v>
      </c>
      <c r="H46" s="21" t="s">
        <v>218</v>
      </c>
      <c r="I46" s="2">
        <v>46365.0</v>
      </c>
      <c r="J46" s="22">
        <v>185051.0</v>
      </c>
      <c r="K46" s="1" t="s">
        <v>219</v>
      </c>
    </row>
    <row r="47" ht="15.75" customHeight="1">
      <c r="A47" s="14"/>
      <c r="B47" s="15">
        <v>41.0</v>
      </c>
      <c r="C47" s="16" t="s">
        <v>220</v>
      </c>
      <c r="D47" s="17" t="s">
        <v>221</v>
      </c>
      <c r="E47" s="18">
        <v>0.0108</v>
      </c>
      <c r="F47" s="19">
        <v>181967.0</v>
      </c>
      <c r="G47" s="21" t="s">
        <v>222</v>
      </c>
      <c r="H47" s="59">
        <v>181967.0</v>
      </c>
      <c r="J47" s="43"/>
    </row>
    <row r="48" ht="15.75" customHeight="1">
      <c r="A48" s="14"/>
      <c r="B48" s="15">
        <v>42.0</v>
      </c>
      <c r="C48" s="16" t="s">
        <v>223</v>
      </c>
      <c r="D48" s="17" t="s">
        <v>224</v>
      </c>
      <c r="E48" s="18">
        <v>0.0161</v>
      </c>
      <c r="F48" s="19">
        <v>256518.0</v>
      </c>
      <c r="G48" s="19">
        <v>256518.0</v>
      </c>
      <c r="H48" s="60" t="s">
        <v>225</v>
      </c>
      <c r="I48" s="2">
        <v>46371.0</v>
      </c>
      <c r="J48" s="5">
        <v>256518.0</v>
      </c>
      <c r="K48" s="1" t="s">
        <v>226</v>
      </c>
    </row>
    <row r="49" ht="15.75" customHeight="1">
      <c r="A49" s="14"/>
      <c r="B49" s="15">
        <v>43.0</v>
      </c>
      <c r="C49" s="16" t="s">
        <v>227</v>
      </c>
      <c r="D49" s="17" t="s">
        <v>228</v>
      </c>
      <c r="E49" s="18">
        <v>0.0192</v>
      </c>
      <c r="F49" s="19">
        <v>300047.0</v>
      </c>
      <c r="G49" s="19">
        <v>301000.0</v>
      </c>
      <c r="H49" s="61" t="s">
        <v>229</v>
      </c>
      <c r="I49" s="2">
        <v>46373.0</v>
      </c>
      <c r="J49" s="22">
        <v>301000.0</v>
      </c>
      <c r="K49" s="1" t="s">
        <v>230</v>
      </c>
    </row>
    <row r="50" ht="15.75" customHeight="1">
      <c r="A50" s="14"/>
      <c r="B50" s="15">
        <v>44.0</v>
      </c>
      <c r="C50" s="16" t="s">
        <v>231</v>
      </c>
      <c r="D50" s="17" t="s">
        <v>232</v>
      </c>
      <c r="E50" s="18">
        <v>0.0123</v>
      </c>
      <c r="F50" s="19">
        <v>203067.0</v>
      </c>
      <c r="G50" s="58">
        <v>203067.0</v>
      </c>
      <c r="H50" s="62" t="s">
        <v>233</v>
      </c>
      <c r="J50" s="22">
        <v>203067.0</v>
      </c>
    </row>
    <row r="51" ht="15.75" customHeight="1">
      <c r="A51" s="14"/>
      <c r="B51" s="15">
        <v>45.0</v>
      </c>
      <c r="C51" s="16" t="s">
        <v>234</v>
      </c>
      <c r="D51" s="17" t="s">
        <v>235</v>
      </c>
      <c r="E51" s="18">
        <v>0.0108</v>
      </c>
      <c r="F51" s="19">
        <v>181967.0</v>
      </c>
      <c r="G51" s="19">
        <v>181967.0</v>
      </c>
      <c r="H51" s="62" t="s">
        <v>236</v>
      </c>
      <c r="I51" s="2">
        <v>46365.0</v>
      </c>
      <c r="J51" s="22">
        <v>181967.0</v>
      </c>
    </row>
    <row r="52" ht="15.75" customHeight="1">
      <c r="A52" s="14"/>
      <c r="B52" s="15">
        <v>46.0</v>
      </c>
      <c r="C52" s="16" t="s">
        <v>237</v>
      </c>
      <c r="D52" s="17" t="s">
        <v>238</v>
      </c>
      <c r="E52" s="18">
        <v>0.0119</v>
      </c>
      <c r="F52" s="19">
        <v>197440.0</v>
      </c>
      <c r="G52" s="19">
        <v>197440.0</v>
      </c>
      <c r="H52" s="62" t="s">
        <v>239</v>
      </c>
      <c r="I52" s="2">
        <v>46374.0</v>
      </c>
      <c r="J52" s="22">
        <v>197440.0</v>
      </c>
      <c r="K52" s="1" t="s">
        <v>240</v>
      </c>
    </row>
    <row r="53" ht="15.75" customHeight="1">
      <c r="A53" s="14"/>
      <c r="B53" s="15">
        <v>47.0</v>
      </c>
      <c r="C53" s="16" t="s">
        <v>241</v>
      </c>
      <c r="D53" s="17" t="s">
        <v>242</v>
      </c>
      <c r="E53" s="18">
        <v>0.0138</v>
      </c>
      <c r="F53" s="19">
        <v>434422.0</v>
      </c>
      <c r="G53" s="21" t="s">
        <v>243</v>
      </c>
      <c r="H53" s="59">
        <v>434422.0</v>
      </c>
      <c r="J53" s="43"/>
    </row>
    <row r="54" ht="15.75" customHeight="1">
      <c r="A54" s="14"/>
      <c r="B54" s="15">
        <v>48.0</v>
      </c>
      <c r="C54" s="16" t="s">
        <v>244</v>
      </c>
      <c r="D54" s="17" t="s">
        <v>245</v>
      </c>
      <c r="E54" s="18">
        <v>0.0155</v>
      </c>
      <c r="F54" s="19">
        <v>248079.0</v>
      </c>
      <c r="G54" s="19">
        <v>248079.0</v>
      </c>
      <c r="H54" s="62" t="s">
        <v>246</v>
      </c>
      <c r="I54" s="2">
        <v>46365.0</v>
      </c>
      <c r="J54" s="22">
        <v>248079.0</v>
      </c>
    </row>
    <row r="55" ht="15.75" customHeight="1">
      <c r="A55" s="14"/>
      <c r="B55" s="15">
        <v>49.0</v>
      </c>
      <c r="C55" s="16" t="s">
        <v>247</v>
      </c>
      <c r="D55" s="17" t="s">
        <v>248</v>
      </c>
      <c r="E55" s="18">
        <v>0.0191</v>
      </c>
      <c r="F55" s="19">
        <v>298717.0</v>
      </c>
      <c r="G55" s="19">
        <v>363717.0</v>
      </c>
      <c r="H55" s="61" t="s">
        <v>249</v>
      </c>
      <c r="I55" s="2">
        <v>46373.0</v>
      </c>
      <c r="J55" s="22">
        <v>298717.0</v>
      </c>
      <c r="K55" s="1" t="s">
        <v>250</v>
      </c>
    </row>
    <row r="56" ht="15.75" customHeight="1">
      <c r="A56" s="14"/>
      <c r="B56" s="15">
        <v>50.0</v>
      </c>
      <c r="C56" s="16" t="s">
        <v>251</v>
      </c>
      <c r="D56" s="17" t="s">
        <v>252</v>
      </c>
      <c r="E56" s="18">
        <v>0.0117</v>
      </c>
      <c r="F56" s="19">
        <v>194627.0</v>
      </c>
      <c r="G56" s="19">
        <v>194627.0</v>
      </c>
      <c r="H56" s="60" t="s">
        <v>253</v>
      </c>
      <c r="I56" s="2">
        <v>46371.0</v>
      </c>
      <c r="J56" s="22">
        <v>194627.0</v>
      </c>
      <c r="K56" s="1" t="s">
        <v>254</v>
      </c>
    </row>
    <row r="57" ht="15.75" customHeight="1">
      <c r="A57" s="14"/>
      <c r="B57" s="15">
        <v>51.0</v>
      </c>
      <c r="C57" s="16" t="s">
        <v>255</v>
      </c>
      <c r="D57" s="17" t="s">
        <v>256</v>
      </c>
      <c r="E57" s="18">
        <v>0.0117</v>
      </c>
      <c r="F57" s="19">
        <v>194333.0</v>
      </c>
      <c r="G57" s="19">
        <v>195000.0</v>
      </c>
      <c r="H57" s="61" t="s">
        <v>257</v>
      </c>
      <c r="I57" s="2">
        <v>46378.0</v>
      </c>
      <c r="J57" s="22">
        <f>185000+10000</f>
        <v>195000</v>
      </c>
      <c r="K57" s="1" t="s">
        <v>258</v>
      </c>
    </row>
    <row r="58" ht="15.75" customHeight="1">
      <c r="A58" s="14"/>
      <c r="B58" s="15">
        <v>52.0</v>
      </c>
      <c r="C58" s="16" t="s">
        <v>259</v>
      </c>
      <c r="D58" s="17" t="s">
        <v>260</v>
      </c>
      <c r="E58" s="18">
        <v>0.0197</v>
      </c>
      <c r="F58" s="19">
        <v>307156.0</v>
      </c>
      <c r="G58" s="19">
        <v>307156.0</v>
      </c>
      <c r="H58" s="62" t="s">
        <v>261</v>
      </c>
      <c r="I58" s="2">
        <v>46378.0</v>
      </c>
      <c r="J58" s="22">
        <v>307156.0</v>
      </c>
      <c r="K58" s="1" t="s">
        <v>262</v>
      </c>
    </row>
    <row r="59" ht="15.75" customHeight="1">
      <c r="A59" s="14"/>
      <c r="B59" s="15">
        <v>53.0</v>
      </c>
      <c r="C59" s="16" t="s">
        <v>263</v>
      </c>
      <c r="D59" s="17" t="s">
        <v>264</v>
      </c>
      <c r="E59" s="18">
        <v>0.0186</v>
      </c>
      <c r="F59" s="19">
        <v>291684.0</v>
      </c>
      <c r="G59" s="19">
        <v>291684.0</v>
      </c>
      <c r="H59" s="62" t="s">
        <v>265</v>
      </c>
      <c r="I59" s="2">
        <v>46361.0</v>
      </c>
      <c r="J59" s="22">
        <v>291684.0</v>
      </c>
    </row>
    <row r="60" ht="15.75" customHeight="1">
      <c r="A60" s="14"/>
      <c r="B60" s="15">
        <v>54.0</v>
      </c>
      <c r="C60" s="16" t="s">
        <v>266</v>
      </c>
      <c r="D60" s="17" t="s">
        <v>267</v>
      </c>
      <c r="E60" s="18">
        <v>0.0102</v>
      </c>
      <c r="F60" s="19">
        <v>337347.0</v>
      </c>
      <c r="G60" s="19">
        <v>337347.0</v>
      </c>
      <c r="H60" s="62" t="s">
        <v>268</v>
      </c>
      <c r="I60" s="2">
        <v>46378.0</v>
      </c>
      <c r="J60" s="22">
        <v>337347.53</v>
      </c>
      <c r="K60" s="1" t="s">
        <v>269</v>
      </c>
    </row>
    <row r="61" ht="15.75" customHeight="1">
      <c r="A61" s="14"/>
      <c r="B61" s="15">
        <v>55.0</v>
      </c>
      <c r="C61" s="16" t="s">
        <v>270</v>
      </c>
      <c r="D61" s="17" t="s">
        <v>271</v>
      </c>
      <c r="E61" s="18">
        <v>0.0102</v>
      </c>
      <c r="F61" s="19">
        <v>173528.0</v>
      </c>
      <c r="G61" s="58">
        <v>173528.0</v>
      </c>
      <c r="H61" s="62" t="s">
        <v>272</v>
      </c>
      <c r="J61" s="22">
        <v>173528.0</v>
      </c>
    </row>
    <row r="62" ht="15.75" customHeight="1">
      <c r="A62" s="14"/>
      <c r="B62" s="15">
        <v>56.0</v>
      </c>
      <c r="C62" s="16" t="s">
        <v>273</v>
      </c>
      <c r="D62" s="17" t="s">
        <v>274</v>
      </c>
      <c r="E62" s="18">
        <v>0.0172</v>
      </c>
      <c r="F62" s="19">
        <v>271991.0</v>
      </c>
      <c r="G62" s="19">
        <v>271991.0</v>
      </c>
      <c r="H62" s="62" t="s">
        <v>275</v>
      </c>
      <c r="I62" s="2">
        <v>46368.0</v>
      </c>
      <c r="J62" s="22">
        <v>271991.0</v>
      </c>
    </row>
    <row r="63" ht="15.75" customHeight="1">
      <c r="A63" s="14"/>
      <c r="B63" s="15">
        <v>57.0</v>
      </c>
      <c r="C63" s="16" t="s">
        <v>276</v>
      </c>
      <c r="D63" s="17" t="s">
        <v>277</v>
      </c>
      <c r="E63" s="18">
        <v>0.0193</v>
      </c>
      <c r="F63" s="19">
        <v>301530.0</v>
      </c>
      <c r="G63" s="19">
        <v>301530.0</v>
      </c>
      <c r="H63" s="62" t="s">
        <v>278</v>
      </c>
      <c r="I63" s="2">
        <v>46360.0</v>
      </c>
      <c r="J63" s="22">
        <v>301530.0</v>
      </c>
    </row>
    <row r="64" ht="15.75" customHeight="1">
      <c r="A64" s="14"/>
      <c r="B64" s="15">
        <v>58.0</v>
      </c>
      <c r="C64" s="16" t="s">
        <v>279</v>
      </c>
      <c r="D64" s="17" t="s">
        <v>280</v>
      </c>
      <c r="E64" s="18">
        <v>0.0105</v>
      </c>
      <c r="F64" s="19">
        <v>177748.0</v>
      </c>
      <c r="G64" s="19">
        <v>177748.0</v>
      </c>
      <c r="H64" s="62" t="s">
        <v>281</v>
      </c>
      <c r="I64" s="2">
        <v>46371.0</v>
      </c>
      <c r="J64" s="22">
        <v>177748.58</v>
      </c>
      <c r="K64" s="1" t="s">
        <v>282</v>
      </c>
    </row>
    <row r="65" ht="15.75" customHeight="1">
      <c r="A65" s="14"/>
      <c r="B65" s="15">
        <v>59.0</v>
      </c>
      <c r="C65" s="16" t="s">
        <v>283</v>
      </c>
      <c r="D65" s="17" t="s">
        <v>284</v>
      </c>
      <c r="E65" s="18">
        <v>0.0103</v>
      </c>
      <c r="F65" s="19">
        <v>174934.0</v>
      </c>
      <c r="G65" s="19">
        <v>174934.0</v>
      </c>
      <c r="H65" s="62" t="s">
        <v>285</v>
      </c>
      <c r="I65" s="2">
        <v>46371.0</v>
      </c>
      <c r="J65" s="22">
        <v>174934.0</v>
      </c>
      <c r="K65" s="22" t="s">
        <v>286</v>
      </c>
    </row>
    <row r="66" ht="15.75" customHeight="1">
      <c r="A66" s="14"/>
      <c r="B66" s="15">
        <v>60.0</v>
      </c>
      <c r="C66" s="16" t="s">
        <v>287</v>
      </c>
      <c r="D66" s="17" t="s">
        <v>288</v>
      </c>
      <c r="E66" s="18">
        <v>0.0186</v>
      </c>
      <c r="F66" s="19">
        <v>1311213.0</v>
      </c>
      <c r="G66" s="19">
        <v>214792.0</v>
      </c>
      <c r="H66" s="59">
        <v>1096421.0</v>
      </c>
      <c r="I66" s="2">
        <v>46365.0</v>
      </c>
      <c r="J66" s="22">
        <v>214792.0</v>
      </c>
      <c r="K66" s="1" t="s">
        <v>289</v>
      </c>
    </row>
    <row r="67" ht="15.75" customHeight="1">
      <c r="A67" s="14"/>
      <c r="B67" s="15">
        <v>61.0</v>
      </c>
      <c r="C67" s="16" t="s">
        <v>290</v>
      </c>
      <c r="D67" s="17" t="s">
        <v>291</v>
      </c>
      <c r="E67" s="18">
        <v>0.0176</v>
      </c>
      <c r="F67" s="19">
        <v>277617.0</v>
      </c>
      <c r="G67" s="19">
        <v>277617.0</v>
      </c>
      <c r="H67" s="62" t="s">
        <v>292</v>
      </c>
      <c r="I67" s="2">
        <v>46371.0</v>
      </c>
      <c r="J67" s="22">
        <v>277617.0</v>
      </c>
      <c r="K67" s="1" t="s">
        <v>293</v>
      </c>
    </row>
    <row r="68" ht="15.75" customHeight="1">
      <c r="A68" s="14"/>
      <c r="B68" s="15">
        <v>62.0</v>
      </c>
      <c r="C68" s="16" t="s">
        <v>294</v>
      </c>
      <c r="D68" s="17" t="s">
        <v>295</v>
      </c>
      <c r="E68" s="18">
        <v>0.0103</v>
      </c>
      <c r="F68" s="19">
        <v>174934.0</v>
      </c>
      <c r="G68" s="19">
        <v>174934.0</v>
      </c>
      <c r="H68" s="62" t="s">
        <v>296</v>
      </c>
      <c r="I68" s="2">
        <v>46371.0</v>
      </c>
      <c r="J68" s="22">
        <v>174934.0</v>
      </c>
    </row>
    <row r="69" ht="15.75" customHeight="1">
      <c r="A69" s="14"/>
      <c r="B69" s="15">
        <v>63.0</v>
      </c>
      <c r="C69" s="16" t="s">
        <v>297</v>
      </c>
      <c r="D69" s="17" t="s">
        <v>298</v>
      </c>
      <c r="E69" s="18">
        <v>0.0102</v>
      </c>
      <c r="F69" s="19">
        <v>173528.0</v>
      </c>
      <c r="G69" s="58">
        <v>173528.0</v>
      </c>
      <c r="H69" s="62" t="s">
        <v>299</v>
      </c>
      <c r="J69" s="22">
        <v>173528.0</v>
      </c>
    </row>
    <row r="70" ht="15.75" customHeight="1">
      <c r="A70" s="14"/>
      <c r="B70" s="15">
        <v>64.0</v>
      </c>
      <c r="C70" s="16" t="s">
        <v>300</v>
      </c>
      <c r="D70" s="17" t="s">
        <v>301</v>
      </c>
      <c r="E70" s="18">
        <v>0.0193</v>
      </c>
      <c r="F70" s="19">
        <v>301530.0</v>
      </c>
      <c r="G70" s="19">
        <v>301530.0</v>
      </c>
      <c r="H70" s="62" t="s">
        <v>302</v>
      </c>
      <c r="I70" s="2">
        <v>46365.0</v>
      </c>
      <c r="J70" s="22">
        <v>301530.64</v>
      </c>
      <c r="K70" s="1" t="s">
        <v>303</v>
      </c>
    </row>
    <row r="71" ht="15.75" customHeight="1">
      <c r="A71" s="14"/>
      <c r="B71" s="15">
        <v>65.0</v>
      </c>
      <c r="C71" s="16" t="s">
        <v>304</v>
      </c>
      <c r="D71" s="17" t="s">
        <v>305</v>
      </c>
      <c r="E71" s="18">
        <v>0.0173</v>
      </c>
      <c r="F71" s="19">
        <v>273398.0</v>
      </c>
      <c r="G71" s="19">
        <v>273398.0</v>
      </c>
      <c r="H71" s="62" t="s">
        <v>306</v>
      </c>
      <c r="I71" s="2">
        <v>46360.0</v>
      </c>
      <c r="J71" s="22">
        <v>273398.65</v>
      </c>
    </row>
    <row r="72" ht="15.75" customHeight="1">
      <c r="A72" s="14"/>
      <c r="B72" s="15">
        <v>66.0</v>
      </c>
      <c r="C72" s="16" t="s">
        <v>307</v>
      </c>
      <c r="D72" s="17" t="s">
        <v>308</v>
      </c>
      <c r="E72" s="18">
        <v>0.0102</v>
      </c>
      <c r="F72" s="19">
        <v>173528.0</v>
      </c>
      <c r="G72" s="58">
        <v>173528.0</v>
      </c>
      <c r="H72" s="62" t="s">
        <v>309</v>
      </c>
      <c r="J72" s="22">
        <v>173528.0</v>
      </c>
    </row>
    <row r="73" ht="15.75" customHeight="1">
      <c r="A73" s="14"/>
      <c r="B73" s="15">
        <v>67.0</v>
      </c>
      <c r="C73" s="16" t="s">
        <v>310</v>
      </c>
      <c r="D73" s="17" t="s">
        <v>311</v>
      </c>
      <c r="E73" s="18">
        <v>0.0102</v>
      </c>
      <c r="F73" s="19">
        <v>173528.0</v>
      </c>
      <c r="G73" s="19">
        <v>173528.0</v>
      </c>
      <c r="H73" s="62" t="s">
        <v>312</v>
      </c>
      <c r="I73" s="2">
        <v>46361.0</v>
      </c>
      <c r="J73" s="22">
        <v>173528.0</v>
      </c>
    </row>
    <row r="74" ht="15.75" customHeight="1">
      <c r="A74" s="14"/>
      <c r="B74" s="15">
        <v>68.0</v>
      </c>
      <c r="C74" s="16" t="s">
        <v>313</v>
      </c>
      <c r="D74" s="17" t="s">
        <v>314</v>
      </c>
      <c r="E74" s="18">
        <v>0.0169</v>
      </c>
      <c r="F74" s="19">
        <v>267771.0</v>
      </c>
      <c r="G74" s="19">
        <v>267771.0</v>
      </c>
      <c r="H74" s="62" t="s">
        <v>315</v>
      </c>
      <c r="I74" s="2">
        <v>46361.0</v>
      </c>
      <c r="J74" s="22">
        <v>267771.0</v>
      </c>
      <c r="K74" s="1" t="s">
        <v>316</v>
      </c>
    </row>
    <row r="75" ht="15.75" customHeight="1">
      <c r="A75" s="14"/>
      <c r="B75" s="15">
        <v>69.0</v>
      </c>
      <c r="C75" s="16" t="s">
        <v>317</v>
      </c>
      <c r="D75" s="17" t="s">
        <v>318</v>
      </c>
      <c r="E75" s="18">
        <v>0.0413</v>
      </c>
      <c r="F75" s="19">
        <v>610986.0</v>
      </c>
      <c r="G75" s="19">
        <v>610986.0</v>
      </c>
      <c r="H75" s="62" t="s">
        <v>319</v>
      </c>
      <c r="I75" s="2">
        <v>46365.0</v>
      </c>
      <c r="J75" s="22">
        <v>610986.0</v>
      </c>
    </row>
    <row r="76" ht="15.75" customHeight="1">
      <c r="A76" s="14"/>
      <c r="B76" s="15">
        <v>70.0</v>
      </c>
      <c r="C76" s="16" t="s">
        <v>320</v>
      </c>
      <c r="D76" s="17" t="s">
        <v>321</v>
      </c>
      <c r="E76" s="18">
        <v>0.0413</v>
      </c>
      <c r="F76" s="19">
        <v>610986.0</v>
      </c>
      <c r="G76" s="19">
        <v>610986.0</v>
      </c>
      <c r="H76" s="62" t="s">
        <v>322</v>
      </c>
      <c r="I76" s="2">
        <v>46070.0</v>
      </c>
      <c r="J76" s="43">
        <f>M76+O76</f>
        <v>610986</v>
      </c>
      <c r="K76" s="1" t="s">
        <v>323</v>
      </c>
      <c r="L76" s="2">
        <v>46065.0</v>
      </c>
      <c r="M76" s="5">
        <v>526546.0</v>
      </c>
      <c r="N76" s="2">
        <v>46070.0</v>
      </c>
      <c r="O76" s="5">
        <v>84440.0</v>
      </c>
    </row>
    <row r="77" ht="15.75" customHeight="1">
      <c r="A77" s="63"/>
      <c r="B77" s="64"/>
      <c r="C77" s="65"/>
      <c r="D77" s="12" t="s">
        <v>324</v>
      </c>
      <c r="E77" s="66">
        <v>0.9979</v>
      </c>
      <c r="F77" s="67">
        <v>1.821775E7</v>
      </c>
      <c r="G77" s="67">
        <v>1.6115392E7</v>
      </c>
      <c r="H77" s="68">
        <v>2102359.0</v>
      </c>
      <c r="J77" s="69">
        <f>SUM(J7:J76)</f>
        <v>16050394.84</v>
      </c>
    </row>
    <row r="78" ht="15.75" customHeight="1"/>
    <row r="79" ht="15.75" customHeight="1"/>
    <row r="80" ht="15.75" customHeight="1">
      <c r="B80" s="70" t="s">
        <v>325</v>
      </c>
    </row>
    <row r="81" ht="15.75" customHeight="1"/>
    <row r="82" ht="15.75" customHeight="1">
      <c r="C82" s="71" t="s">
        <v>326</v>
      </c>
      <c r="D82" s="71" t="s">
        <v>327</v>
      </c>
      <c r="E82" s="72" t="s">
        <v>328</v>
      </c>
      <c r="F82" s="71" t="s">
        <v>329</v>
      </c>
    </row>
    <row r="83" ht="15.75" customHeight="1">
      <c r="C83" s="15">
        <v>7.0</v>
      </c>
      <c r="D83" s="16" t="s">
        <v>330</v>
      </c>
      <c r="E83" s="17" t="s">
        <v>331</v>
      </c>
      <c r="F83" s="73">
        <v>292741.0</v>
      </c>
    </row>
    <row r="84" ht="15.75" customHeight="1">
      <c r="C84" s="15">
        <v>14.0</v>
      </c>
      <c r="D84" s="16" t="s">
        <v>332</v>
      </c>
      <c r="E84" s="17" t="s">
        <v>333</v>
      </c>
      <c r="F84" s="74">
        <v>35.0</v>
      </c>
    </row>
    <row r="85" ht="15.75" customHeight="1">
      <c r="C85" s="15">
        <v>17.0</v>
      </c>
      <c r="D85" s="16" t="s">
        <v>334</v>
      </c>
      <c r="E85" s="17" t="s">
        <v>335</v>
      </c>
      <c r="F85" s="73">
        <v>220909.0</v>
      </c>
    </row>
    <row r="86" ht="15.75" customHeight="1">
      <c r="C86" s="15">
        <v>41.0</v>
      </c>
      <c r="D86" s="16" t="s">
        <v>336</v>
      </c>
      <c r="E86" s="17" t="s">
        <v>337</v>
      </c>
      <c r="F86" s="73">
        <v>195251.0</v>
      </c>
    </row>
    <row r="87" ht="15.75" customHeight="1">
      <c r="C87" s="15">
        <v>47.0</v>
      </c>
      <c r="D87" s="16" t="s">
        <v>338</v>
      </c>
      <c r="E87" s="17" t="s">
        <v>339</v>
      </c>
      <c r="F87" s="73">
        <v>466135.0</v>
      </c>
    </row>
    <row r="88" ht="15.75" customHeight="1">
      <c r="C88" s="15">
        <v>60.0</v>
      </c>
      <c r="D88" s="16" t="s">
        <v>340</v>
      </c>
      <c r="E88" s="17" t="s">
        <v>341</v>
      </c>
      <c r="F88" s="73">
        <v>1176460.0</v>
      </c>
    </row>
    <row r="89" ht="15.75" customHeight="1">
      <c r="C89" s="64"/>
      <c r="D89" s="65"/>
      <c r="E89" s="71" t="s">
        <v>342</v>
      </c>
      <c r="F89" s="75">
        <v>2351531.0</v>
      </c>
    </row>
    <row r="90" ht="15.75" customHeight="1"/>
    <row r="91" ht="15.75" customHeight="1"/>
    <row r="92" ht="15.75" customHeight="1">
      <c r="B92" s="49" t="s">
        <v>343</v>
      </c>
    </row>
    <row r="93" ht="15.75" customHeight="1"/>
    <row r="94" ht="15.75" customHeight="1"/>
    <row r="95" ht="15.75" customHeight="1">
      <c r="B95" s="76" t="s">
        <v>344</v>
      </c>
      <c r="C95" s="8"/>
      <c r="D95" s="8"/>
      <c r="E95" s="9"/>
      <c r="F95" s="77" t="s">
        <v>345</v>
      </c>
      <c r="G95" s="78"/>
      <c r="H95" s="78"/>
      <c r="I95" s="78"/>
      <c r="J95" s="79" t="s">
        <v>346</v>
      </c>
    </row>
    <row r="96" ht="15.75" customHeight="1">
      <c r="B96" s="80" t="s">
        <v>347</v>
      </c>
      <c r="C96" s="81"/>
      <c r="D96" s="81"/>
      <c r="E96" s="65"/>
      <c r="F96" s="82"/>
      <c r="G96" s="82"/>
      <c r="H96" s="82"/>
      <c r="I96" s="82"/>
      <c r="J96" s="83"/>
    </row>
    <row r="97" ht="15.75" customHeight="1">
      <c r="B97" s="84" t="s">
        <v>348</v>
      </c>
      <c r="C97" s="85"/>
      <c r="D97" s="85"/>
      <c r="E97" s="86"/>
      <c r="F97" s="87"/>
      <c r="G97" s="87"/>
      <c r="H97" s="87"/>
      <c r="I97" s="87"/>
      <c r="J97" s="88"/>
    </row>
    <row r="98" ht="15.75" customHeight="1">
      <c r="B98" s="89"/>
      <c r="C98" s="9"/>
      <c r="D98" s="89"/>
      <c r="E98" s="9"/>
      <c r="F98" s="90"/>
      <c r="G98" s="90"/>
      <c r="H98" s="90"/>
      <c r="I98" s="90"/>
      <c r="J98" s="88"/>
    </row>
    <row r="99" ht="15.75" customHeight="1">
      <c r="B99" s="91" t="s">
        <v>349</v>
      </c>
      <c r="C99" s="9"/>
      <c r="D99" s="92">
        <v>859446.81</v>
      </c>
      <c r="E99" s="90"/>
      <c r="F99" s="90"/>
      <c r="G99" s="90"/>
      <c r="H99" s="90"/>
      <c r="I99" s="90"/>
      <c r="J99" s="88"/>
    </row>
    <row r="100" ht="15.75" customHeight="1">
      <c r="B100" s="91" t="s">
        <v>350</v>
      </c>
      <c r="C100" s="9"/>
      <c r="D100" s="92">
        <v>220492.8</v>
      </c>
      <c r="E100" s="90"/>
      <c r="F100" s="90"/>
      <c r="G100" s="90"/>
      <c r="H100" s="90"/>
      <c r="I100" s="90"/>
      <c r="J100" s="88"/>
    </row>
    <row r="101" ht="15.75" customHeight="1">
      <c r="B101" s="91" t="s">
        <v>351</v>
      </c>
      <c r="C101" s="9"/>
      <c r="D101" s="92">
        <v>9844.79</v>
      </c>
      <c r="E101" s="90"/>
      <c r="F101" s="90"/>
      <c r="G101" s="90"/>
      <c r="H101" s="90"/>
      <c r="I101" s="90"/>
      <c r="J101" s="88"/>
    </row>
    <row r="102" ht="15.75" customHeight="1">
      <c r="B102" s="91" t="s">
        <v>352</v>
      </c>
      <c r="C102" s="9"/>
      <c r="D102" s="92">
        <v>73497.52</v>
      </c>
      <c r="E102" s="90"/>
      <c r="F102" s="90"/>
      <c r="G102" s="90"/>
      <c r="H102" s="90"/>
      <c r="I102" s="90"/>
      <c r="J102" s="88"/>
    </row>
    <row r="103" ht="15.75" customHeight="1">
      <c r="B103" s="91" t="s">
        <v>353</v>
      </c>
      <c r="C103" s="9"/>
      <c r="D103" s="92">
        <v>118447.0</v>
      </c>
      <c r="E103" s="90"/>
      <c r="F103" s="90"/>
      <c r="G103" s="90"/>
      <c r="H103" s="90"/>
      <c r="I103" s="90"/>
      <c r="J103" s="88"/>
    </row>
    <row r="104" ht="15.75" customHeight="1">
      <c r="B104" s="91" t="s">
        <v>354</v>
      </c>
      <c r="C104" s="9"/>
      <c r="D104" s="92">
        <v>23091.6</v>
      </c>
      <c r="E104" s="90"/>
      <c r="F104" s="90"/>
      <c r="G104" s="90"/>
      <c r="H104" s="90"/>
      <c r="I104" s="90"/>
      <c r="J104" s="88"/>
    </row>
    <row r="105" ht="15.75" customHeight="1">
      <c r="B105" s="91" t="s">
        <v>355</v>
      </c>
      <c r="C105" s="9"/>
      <c r="D105" s="92">
        <v>23091.6</v>
      </c>
      <c r="E105" s="90"/>
      <c r="F105" s="90"/>
      <c r="G105" s="90"/>
      <c r="H105" s="90"/>
      <c r="I105" s="90"/>
      <c r="J105" s="88"/>
    </row>
    <row r="106" ht="15.75" customHeight="1">
      <c r="B106" s="91" t="s">
        <v>356</v>
      </c>
      <c r="C106" s="9"/>
      <c r="D106" s="92">
        <v>64310.3</v>
      </c>
      <c r="E106" s="90"/>
      <c r="F106" s="90"/>
      <c r="G106" s="90"/>
      <c r="H106" s="90"/>
      <c r="I106" s="90"/>
      <c r="J106" s="88"/>
    </row>
    <row r="107" ht="15.75" customHeight="1">
      <c r="B107" s="91" t="s">
        <v>357</v>
      </c>
      <c r="C107" s="9"/>
      <c r="D107" s="90"/>
      <c r="E107" s="92">
        <v>153144.47</v>
      </c>
      <c r="F107" s="90"/>
      <c r="G107" s="90"/>
      <c r="H107" s="90"/>
      <c r="I107" s="90"/>
      <c r="J107" s="88"/>
    </row>
    <row r="108" ht="15.75" customHeight="1">
      <c r="B108" s="93" t="s">
        <v>358</v>
      </c>
      <c r="C108" s="94"/>
      <c r="D108" s="90"/>
      <c r="E108" s="92">
        <v>41766.67</v>
      </c>
      <c r="F108" s="90"/>
      <c r="G108" s="90"/>
      <c r="H108" s="90"/>
      <c r="I108" s="90"/>
      <c r="J108" s="88"/>
    </row>
    <row r="109" ht="15.75" customHeight="1">
      <c r="B109" s="91" t="s">
        <v>359</v>
      </c>
      <c r="C109" s="9"/>
      <c r="D109" s="90"/>
      <c r="E109" s="92">
        <v>41766.67</v>
      </c>
      <c r="F109" s="90"/>
      <c r="G109" s="90"/>
      <c r="H109" s="90"/>
      <c r="I109" s="90"/>
      <c r="J109" s="88"/>
    </row>
    <row r="110" ht="15.75" customHeight="1">
      <c r="B110" s="91" t="s">
        <v>360</v>
      </c>
      <c r="C110" s="9"/>
      <c r="D110" s="90"/>
      <c r="E110" s="92">
        <v>13922.22</v>
      </c>
      <c r="F110" s="90"/>
      <c r="G110" s="90"/>
      <c r="H110" s="90"/>
      <c r="I110" s="90"/>
      <c r="J110" s="88"/>
    </row>
    <row r="111" ht="15.75" customHeight="1">
      <c r="B111" s="91" t="s">
        <v>361</v>
      </c>
      <c r="C111" s="9"/>
      <c r="D111" s="90"/>
      <c r="E111" s="92">
        <v>13922.22</v>
      </c>
      <c r="F111" s="90"/>
      <c r="G111" s="90"/>
      <c r="H111" s="90"/>
      <c r="I111" s="90"/>
      <c r="J111" s="88"/>
    </row>
    <row r="112" ht="15.75" customHeight="1">
      <c r="B112" s="91" t="s">
        <v>362</v>
      </c>
      <c r="C112" s="9"/>
      <c r="D112" s="90"/>
      <c r="E112" s="92">
        <v>27844.45</v>
      </c>
      <c r="F112" s="90"/>
      <c r="G112" s="90"/>
      <c r="H112" s="90"/>
      <c r="I112" s="90"/>
      <c r="J112" s="88"/>
    </row>
    <row r="113" ht="15.75" customHeight="1">
      <c r="B113" s="91" t="s">
        <v>363</v>
      </c>
      <c r="C113" s="9"/>
      <c r="D113" s="90"/>
      <c r="E113" s="92">
        <v>10441.67</v>
      </c>
      <c r="F113" s="90"/>
      <c r="G113" s="90"/>
      <c r="H113" s="90"/>
      <c r="I113" s="90"/>
      <c r="J113" s="88"/>
    </row>
    <row r="114" ht="15.75" customHeight="1">
      <c r="B114" s="91" t="s">
        <v>364</v>
      </c>
      <c r="C114" s="9"/>
      <c r="D114" s="92">
        <v>1392222.42</v>
      </c>
      <c r="E114" s="92">
        <v>302808.38</v>
      </c>
      <c r="F114" s="95">
        <v>1089414.04</v>
      </c>
      <c r="G114" s="90"/>
      <c r="H114" s="90"/>
      <c r="I114" s="90"/>
      <c r="J114" s="88"/>
      <c r="K114" s="2">
        <v>46361.0</v>
      </c>
      <c r="L114" s="96">
        <v>1054814.0</v>
      </c>
      <c r="M114" s="1" t="s">
        <v>365</v>
      </c>
    </row>
    <row r="115" ht="15.75" customHeight="1">
      <c r="B115" s="89"/>
      <c r="C115" s="8"/>
      <c r="D115" s="8"/>
      <c r="E115" s="9"/>
      <c r="F115" s="90"/>
      <c r="G115" s="90"/>
      <c r="H115" s="90"/>
      <c r="I115" s="90"/>
      <c r="J115" s="88"/>
      <c r="K115" s="2">
        <v>46374.0</v>
      </c>
      <c r="L115" s="96">
        <v>676931.22</v>
      </c>
      <c r="M115" s="1" t="s">
        <v>366</v>
      </c>
    </row>
    <row r="116" ht="15.75" customHeight="1">
      <c r="B116" s="80" t="s">
        <v>367</v>
      </c>
      <c r="C116" s="81"/>
      <c r="D116" s="81"/>
      <c r="E116" s="65"/>
      <c r="F116" s="82"/>
      <c r="G116" s="82"/>
      <c r="H116" s="82"/>
      <c r="I116" s="82"/>
      <c r="J116" s="88"/>
    </row>
    <row r="117" ht="15.75" customHeight="1">
      <c r="B117" s="84" t="s">
        <v>368</v>
      </c>
      <c r="C117" s="85"/>
      <c r="D117" s="85"/>
      <c r="E117" s="86"/>
      <c r="F117" s="87"/>
      <c r="G117" s="87"/>
      <c r="H117" s="87"/>
      <c r="I117" s="87"/>
      <c r="J117" s="88"/>
    </row>
    <row r="118" ht="15.75" customHeight="1">
      <c r="B118" s="89"/>
      <c r="C118" s="9"/>
      <c r="D118" s="89"/>
      <c r="E118" s="9"/>
      <c r="F118" s="90"/>
      <c r="G118" s="90"/>
      <c r="H118" s="90"/>
      <c r="I118" s="90"/>
      <c r="J118" s="88"/>
    </row>
    <row r="119" ht="15.75" customHeight="1">
      <c r="B119" s="91" t="s">
        <v>369</v>
      </c>
      <c r="C119" s="9"/>
      <c r="D119" s="92">
        <v>474588.74</v>
      </c>
      <c r="E119" s="90"/>
      <c r="F119" s="90"/>
      <c r="G119" s="90"/>
      <c r="H119" s="90"/>
      <c r="I119" s="90"/>
      <c r="J119" s="88"/>
    </row>
    <row r="120" ht="15.75" customHeight="1">
      <c r="B120" s="91" t="s">
        <v>370</v>
      </c>
      <c r="C120" s="9"/>
      <c r="D120" s="92">
        <v>220492.8</v>
      </c>
      <c r="E120" s="90"/>
      <c r="F120" s="90"/>
      <c r="G120" s="90"/>
      <c r="H120" s="90"/>
      <c r="I120" s="90"/>
      <c r="J120" s="88"/>
    </row>
    <row r="121" ht="15.75" customHeight="1">
      <c r="B121" s="91" t="s">
        <v>371</v>
      </c>
      <c r="C121" s="9"/>
      <c r="D121" s="92">
        <v>59223.5</v>
      </c>
      <c r="E121" s="90"/>
      <c r="F121" s="90"/>
      <c r="G121" s="90"/>
      <c r="H121" s="90"/>
      <c r="I121" s="90"/>
      <c r="J121" s="88"/>
    </row>
    <row r="122" ht="15.75" customHeight="1">
      <c r="B122" s="91" t="s">
        <v>372</v>
      </c>
      <c r="C122" s="9"/>
      <c r="D122" s="92">
        <v>23091.6</v>
      </c>
      <c r="E122" s="90"/>
      <c r="F122" s="90"/>
      <c r="G122" s="90"/>
      <c r="H122" s="90"/>
      <c r="I122" s="90"/>
      <c r="J122" s="88"/>
    </row>
    <row r="123" ht="15.75" customHeight="1">
      <c r="B123" s="91" t="s">
        <v>373</v>
      </c>
      <c r="C123" s="9"/>
      <c r="D123" s="92">
        <v>23091.6</v>
      </c>
      <c r="E123" s="90"/>
      <c r="F123" s="90"/>
      <c r="G123" s="90"/>
      <c r="H123" s="90"/>
      <c r="I123" s="90"/>
      <c r="J123" s="88"/>
    </row>
    <row r="124" ht="15.75" customHeight="1">
      <c r="B124" s="91" t="s">
        <v>374</v>
      </c>
      <c r="C124" s="9"/>
      <c r="D124" s="92">
        <v>40585.52</v>
      </c>
      <c r="E124" s="90"/>
      <c r="F124" s="90"/>
      <c r="G124" s="90"/>
      <c r="H124" s="90"/>
      <c r="I124" s="90"/>
      <c r="J124" s="88"/>
    </row>
    <row r="125" ht="15.75" customHeight="1">
      <c r="B125" s="91" t="s">
        <v>375</v>
      </c>
      <c r="C125" s="9"/>
      <c r="D125" s="92">
        <v>64310.3</v>
      </c>
      <c r="E125" s="90"/>
      <c r="F125" s="90"/>
      <c r="G125" s="90"/>
      <c r="H125" s="90"/>
      <c r="I125" s="90"/>
      <c r="J125" s="88"/>
    </row>
    <row r="126" ht="15.75" customHeight="1">
      <c r="B126" s="91" t="s">
        <v>376</v>
      </c>
      <c r="C126" s="9"/>
      <c r="D126" s="90"/>
      <c r="E126" s="92">
        <v>99592.25</v>
      </c>
      <c r="F126" s="90"/>
      <c r="G126" s="90"/>
      <c r="H126" s="90"/>
      <c r="I126" s="90"/>
      <c r="J126" s="88"/>
    </row>
    <row r="127" ht="15.75" customHeight="1">
      <c r="B127" s="93" t="s">
        <v>377</v>
      </c>
      <c r="C127" s="94"/>
      <c r="D127" s="90"/>
      <c r="E127" s="92">
        <v>27161.52</v>
      </c>
      <c r="F127" s="90"/>
      <c r="G127" s="90"/>
      <c r="H127" s="90"/>
      <c r="I127" s="90"/>
      <c r="J127" s="88"/>
    </row>
    <row r="128" ht="15.75" customHeight="1">
      <c r="B128" s="91" t="s">
        <v>378</v>
      </c>
      <c r="C128" s="9"/>
      <c r="D128" s="90"/>
      <c r="E128" s="92">
        <v>54323.04</v>
      </c>
      <c r="F128" s="90"/>
      <c r="G128" s="90"/>
      <c r="H128" s="90"/>
      <c r="I128" s="90"/>
      <c r="J128" s="88"/>
    </row>
    <row r="129" ht="15.75" customHeight="1">
      <c r="B129" s="91" t="s">
        <v>379</v>
      </c>
      <c r="C129" s="9"/>
      <c r="D129" s="90"/>
      <c r="E129" s="92">
        <v>9053.84</v>
      </c>
      <c r="F129" s="90"/>
      <c r="G129" s="90"/>
      <c r="H129" s="90"/>
      <c r="I129" s="90"/>
      <c r="J129" s="88"/>
    </row>
    <row r="130" ht="15.75" customHeight="1">
      <c r="B130" s="91" t="s">
        <v>380</v>
      </c>
      <c r="C130" s="9"/>
      <c r="D130" s="90"/>
      <c r="E130" s="92">
        <v>9053.84</v>
      </c>
      <c r="F130" s="90"/>
      <c r="G130" s="90"/>
      <c r="H130" s="90"/>
      <c r="I130" s="90"/>
      <c r="J130" s="88"/>
    </row>
    <row r="131" ht="15.75" customHeight="1">
      <c r="B131" s="91" t="s">
        <v>381</v>
      </c>
      <c r="C131" s="9"/>
      <c r="D131" s="90"/>
      <c r="E131" s="92">
        <v>18107.68</v>
      </c>
      <c r="F131" s="90"/>
      <c r="G131" s="90"/>
      <c r="H131" s="90"/>
      <c r="I131" s="90"/>
      <c r="J131" s="88"/>
    </row>
    <row r="132" ht="15.75" customHeight="1">
      <c r="B132" s="91" t="s">
        <v>382</v>
      </c>
      <c r="C132" s="9"/>
      <c r="D132" s="90"/>
      <c r="E132" s="92">
        <v>6790.38</v>
      </c>
      <c r="F132" s="90"/>
      <c r="G132" s="90"/>
      <c r="H132" s="90"/>
      <c r="I132" s="90"/>
      <c r="J132" s="88"/>
    </row>
    <row r="133" ht="15.75" customHeight="1">
      <c r="B133" s="91" t="s">
        <v>383</v>
      </c>
      <c r="C133" s="9"/>
      <c r="D133" s="92">
        <v>905384.06</v>
      </c>
      <c r="E133" s="92">
        <v>224082.55</v>
      </c>
      <c r="F133" s="97">
        <v>681301.51</v>
      </c>
      <c r="G133" s="90"/>
      <c r="H133" s="90"/>
      <c r="I133" s="90"/>
      <c r="J133" s="88"/>
      <c r="K133" s="2">
        <v>46361.0</v>
      </c>
      <c r="L133" s="98">
        <v>682492.0</v>
      </c>
      <c r="M133" s="1" t="s">
        <v>384</v>
      </c>
    </row>
    <row r="134" ht="15.75" customHeight="1">
      <c r="B134" s="89"/>
      <c r="C134" s="8"/>
      <c r="D134" s="8"/>
      <c r="E134" s="9"/>
      <c r="F134" s="90"/>
      <c r="G134" s="90"/>
      <c r="H134" s="90"/>
      <c r="I134" s="90"/>
      <c r="J134" s="88"/>
      <c r="K134" s="2">
        <v>46374.0</v>
      </c>
      <c r="L134" s="98">
        <v>449120.28</v>
      </c>
      <c r="M134" s="1" t="s">
        <v>366</v>
      </c>
    </row>
    <row r="135" ht="15.75" customHeight="1">
      <c r="B135" s="80" t="s">
        <v>385</v>
      </c>
      <c r="C135" s="81"/>
      <c r="D135" s="81"/>
      <c r="E135" s="65"/>
      <c r="F135" s="99"/>
      <c r="G135" s="99"/>
      <c r="H135" s="99"/>
      <c r="I135" s="99"/>
      <c r="J135" s="88"/>
    </row>
    <row r="136" ht="15.75" customHeight="1">
      <c r="B136" s="84" t="s">
        <v>386</v>
      </c>
      <c r="C136" s="85"/>
      <c r="D136" s="85"/>
      <c r="E136" s="86"/>
      <c r="F136" s="87"/>
      <c r="G136" s="87"/>
      <c r="H136" s="87"/>
      <c r="I136" s="87"/>
      <c r="J136" s="88"/>
    </row>
    <row r="137" ht="15.75" customHeight="1">
      <c r="B137" s="89"/>
      <c r="C137" s="9"/>
      <c r="D137" s="89"/>
      <c r="E137" s="9"/>
      <c r="F137" s="90"/>
      <c r="G137" s="90"/>
      <c r="H137" s="90"/>
      <c r="I137" s="90"/>
      <c r="J137" s="88"/>
    </row>
    <row r="138" ht="15.75" customHeight="1">
      <c r="B138" s="91" t="s">
        <v>387</v>
      </c>
      <c r="C138" s="9"/>
      <c r="D138" s="92">
        <v>694018.65</v>
      </c>
      <c r="E138" s="90"/>
      <c r="F138" s="90"/>
      <c r="G138" s="90"/>
      <c r="H138" s="90"/>
      <c r="I138" s="90"/>
      <c r="J138" s="88"/>
    </row>
    <row r="139" ht="15.75" customHeight="1">
      <c r="B139" s="91" t="s">
        <v>388</v>
      </c>
      <c r="C139" s="9"/>
      <c r="D139" s="92">
        <v>73497.6</v>
      </c>
      <c r="E139" s="90"/>
      <c r="F139" s="90"/>
      <c r="G139" s="90"/>
      <c r="H139" s="90"/>
      <c r="I139" s="90"/>
      <c r="J139" s="88"/>
    </row>
    <row r="140" ht="15.75" customHeight="1">
      <c r="B140" s="91" t="s">
        <v>389</v>
      </c>
      <c r="C140" s="9"/>
      <c r="D140" s="92">
        <v>59350.56</v>
      </c>
      <c r="E140" s="90"/>
      <c r="F140" s="90"/>
      <c r="G140" s="90"/>
      <c r="H140" s="90"/>
      <c r="I140" s="90"/>
      <c r="J140" s="88"/>
    </row>
    <row r="141" ht="15.75" customHeight="1">
      <c r="B141" s="91" t="s">
        <v>390</v>
      </c>
      <c r="C141" s="9"/>
      <c r="D141" s="92">
        <v>64310.3</v>
      </c>
      <c r="E141" s="90"/>
      <c r="F141" s="90"/>
      <c r="G141" s="90"/>
      <c r="H141" s="90"/>
      <c r="I141" s="90"/>
      <c r="J141" s="88"/>
    </row>
    <row r="142" ht="15.75" customHeight="1">
      <c r="B142" s="91" t="s">
        <v>391</v>
      </c>
      <c r="C142" s="9"/>
      <c r="D142" s="90"/>
      <c r="E142" s="92">
        <v>98029.48</v>
      </c>
      <c r="F142" s="90"/>
      <c r="G142" s="90"/>
      <c r="H142" s="90"/>
      <c r="I142" s="90"/>
      <c r="J142" s="88"/>
    </row>
    <row r="143" ht="15.75" customHeight="1">
      <c r="B143" s="93" t="s">
        <v>392</v>
      </c>
      <c r="C143" s="94"/>
      <c r="D143" s="90"/>
      <c r="E143" s="92">
        <v>26735.31</v>
      </c>
      <c r="F143" s="90"/>
      <c r="G143" s="90"/>
      <c r="H143" s="90"/>
      <c r="I143" s="90"/>
      <c r="J143" s="88"/>
    </row>
    <row r="144" ht="15.75" customHeight="1">
      <c r="B144" s="91" t="s">
        <v>393</v>
      </c>
      <c r="C144" s="9"/>
      <c r="D144" s="90"/>
      <c r="E144" s="92">
        <v>35647.08</v>
      </c>
      <c r="F144" s="90"/>
      <c r="G144" s="90"/>
      <c r="H144" s="90"/>
      <c r="I144" s="90"/>
      <c r="J144" s="88"/>
    </row>
    <row r="145" ht="15.75" customHeight="1">
      <c r="B145" s="91" t="s">
        <v>394</v>
      </c>
      <c r="C145" s="9"/>
      <c r="D145" s="90"/>
      <c r="E145" s="92">
        <v>8911.77</v>
      </c>
      <c r="F145" s="90"/>
      <c r="G145" s="90"/>
      <c r="H145" s="90"/>
      <c r="I145" s="90"/>
      <c r="J145" s="88"/>
    </row>
    <row r="146" ht="15.75" customHeight="1">
      <c r="B146" s="91" t="s">
        <v>395</v>
      </c>
      <c r="C146" s="9"/>
      <c r="D146" s="90"/>
      <c r="E146" s="92">
        <v>8911.77</v>
      </c>
      <c r="F146" s="90"/>
      <c r="G146" s="90"/>
      <c r="H146" s="90"/>
      <c r="I146" s="90"/>
      <c r="J146" s="88"/>
    </row>
    <row r="147" ht="15.75" customHeight="1">
      <c r="B147" s="91" t="s">
        <v>396</v>
      </c>
      <c r="C147" s="9"/>
      <c r="D147" s="90"/>
      <c r="E147" s="92">
        <v>17823.54</v>
      </c>
      <c r="F147" s="90"/>
      <c r="G147" s="90"/>
      <c r="H147" s="90"/>
      <c r="I147" s="90"/>
      <c r="J147" s="88"/>
    </row>
    <row r="148" ht="15.75" customHeight="1">
      <c r="B148" s="91" t="s">
        <v>397</v>
      </c>
      <c r="C148" s="9"/>
      <c r="D148" s="90"/>
      <c r="E148" s="92">
        <v>6683.83</v>
      </c>
      <c r="F148" s="90"/>
      <c r="G148" s="90"/>
      <c r="H148" s="90"/>
      <c r="I148" s="90"/>
      <c r="J148" s="88"/>
    </row>
    <row r="149" ht="15.75" customHeight="1">
      <c r="B149" s="91" t="s">
        <v>398</v>
      </c>
      <c r="C149" s="9"/>
      <c r="D149" s="92">
        <v>891177.11</v>
      </c>
      <c r="E149" s="92">
        <v>202742.79</v>
      </c>
      <c r="F149" s="97">
        <v>688434.32</v>
      </c>
      <c r="G149" s="90"/>
      <c r="H149" s="90"/>
      <c r="I149" s="90"/>
      <c r="J149" s="88"/>
      <c r="K149" s="2">
        <v>46361.0</v>
      </c>
      <c r="L149" s="37">
        <v>687551.0</v>
      </c>
      <c r="M149" s="1" t="s">
        <v>399</v>
      </c>
    </row>
    <row r="150" ht="15.75" customHeight="1">
      <c r="B150" s="89"/>
      <c r="C150" s="8"/>
      <c r="D150" s="8"/>
      <c r="E150" s="9"/>
      <c r="F150" s="90"/>
      <c r="G150" s="90"/>
      <c r="H150" s="90"/>
      <c r="I150" s="90"/>
      <c r="J150" s="88"/>
      <c r="K150" s="2">
        <v>46374.0</v>
      </c>
      <c r="L150" s="37">
        <v>501470.1</v>
      </c>
      <c r="M150" s="1" t="s">
        <v>366</v>
      </c>
    </row>
    <row r="151" ht="15.75" customHeight="1">
      <c r="B151" s="91" t="s">
        <v>400</v>
      </c>
      <c r="C151" s="8"/>
      <c r="D151" s="8"/>
      <c r="E151" s="9"/>
      <c r="F151" s="92">
        <v>340174.6</v>
      </c>
      <c r="G151" s="90"/>
      <c r="H151" s="90"/>
      <c r="I151" s="90"/>
      <c r="J151" s="88"/>
    </row>
    <row r="152" ht="15.75" customHeight="1">
      <c r="B152" s="89"/>
      <c r="C152" s="8"/>
      <c r="D152" s="8"/>
      <c r="E152" s="8"/>
      <c r="F152" s="100"/>
      <c r="G152" s="101"/>
      <c r="H152" s="102" t="s">
        <v>401</v>
      </c>
      <c r="I152" s="103">
        <v>2799324.47</v>
      </c>
      <c r="J152" s="104">
        <v>0.16</v>
      </c>
      <c r="M152" s="36">
        <f>L150+L149+L134+L133+L114+L115</f>
        <v>4052378.6</v>
      </c>
    </row>
    <row r="153" ht="15.75" customHeight="1">
      <c r="B153" s="76" t="s">
        <v>402</v>
      </c>
      <c r="C153" s="8"/>
      <c r="D153" s="8"/>
      <c r="E153" s="9"/>
      <c r="F153" s="77" t="s">
        <v>403</v>
      </c>
      <c r="G153" s="78"/>
      <c r="H153" s="78"/>
      <c r="I153" s="78"/>
      <c r="J153" s="105"/>
    </row>
    <row r="154" ht="15.75" customHeight="1">
      <c r="B154" s="91" t="s">
        <v>404</v>
      </c>
      <c r="C154" s="9"/>
      <c r="D154" s="106" t="s">
        <v>405</v>
      </c>
      <c r="E154" s="9"/>
      <c r="F154" s="97">
        <v>2526913.57</v>
      </c>
      <c r="G154" s="90"/>
      <c r="H154" s="90"/>
      <c r="I154" s="90"/>
      <c r="J154" s="88"/>
      <c r="L154" s="36">
        <v>1546772.5</v>
      </c>
    </row>
    <row r="155" ht="15.75" customHeight="1">
      <c r="B155" s="89"/>
      <c r="C155" s="9"/>
      <c r="D155" s="89"/>
      <c r="E155" s="9"/>
      <c r="F155" s="90"/>
      <c r="G155" s="90"/>
      <c r="H155" s="90"/>
      <c r="I155" s="90"/>
      <c r="J155" s="88"/>
    </row>
    <row r="156" ht="15.75" customHeight="1">
      <c r="B156" s="89"/>
      <c r="C156" s="107"/>
      <c r="D156" s="107"/>
      <c r="E156" s="107"/>
      <c r="F156" s="107"/>
      <c r="G156" s="107"/>
      <c r="H156" s="102" t="s">
        <v>406</v>
      </c>
      <c r="I156" s="103">
        <v>2526913.57</v>
      </c>
      <c r="J156" s="104">
        <v>0.15</v>
      </c>
      <c r="M156" s="36">
        <f>L154</f>
        <v>1546772.5</v>
      </c>
    </row>
    <row r="157" ht="15.75" customHeight="1">
      <c r="B157" s="76" t="s">
        <v>407</v>
      </c>
      <c r="C157" s="9"/>
      <c r="D157" s="77" t="s">
        <v>408</v>
      </c>
      <c r="E157" s="78"/>
      <c r="F157" s="78"/>
      <c r="G157" s="78"/>
      <c r="H157" s="105"/>
    </row>
    <row r="158" ht="15.75" customHeight="1">
      <c r="B158" s="108" t="s">
        <v>409</v>
      </c>
      <c r="C158" s="109" t="s">
        <v>410</v>
      </c>
      <c r="D158" s="95">
        <v>679584.04</v>
      </c>
      <c r="E158" s="110"/>
      <c r="F158" s="110"/>
      <c r="G158" s="110"/>
      <c r="H158" s="88"/>
      <c r="K158" s="111" t="s">
        <v>411</v>
      </c>
      <c r="L158" s="36">
        <f>'Cuota Sindical'!C5</f>
        <v>410843.14</v>
      </c>
    </row>
    <row r="159" ht="15.75" customHeight="1">
      <c r="B159" s="90"/>
      <c r="C159" s="90"/>
      <c r="D159" s="90"/>
      <c r="E159" s="90"/>
      <c r="F159" s="90"/>
      <c r="G159" s="90"/>
      <c r="H159" s="88"/>
    </row>
    <row r="160" ht="15.75" customHeight="1">
      <c r="B160" s="112"/>
      <c r="C160" s="113"/>
      <c r="D160" s="113"/>
      <c r="E160" s="113"/>
      <c r="F160" s="102" t="s">
        <v>412</v>
      </c>
      <c r="G160" s="103">
        <v>679584.04</v>
      </c>
      <c r="H160" s="104">
        <v>0.04</v>
      </c>
      <c r="M160" s="36">
        <f>L158</f>
        <v>410843.14</v>
      </c>
    </row>
    <row r="161" ht="15.75" customHeight="1">
      <c r="B161" s="76" t="s">
        <v>413</v>
      </c>
      <c r="C161" s="9"/>
      <c r="D161" s="77" t="s">
        <v>414</v>
      </c>
      <c r="E161" s="78"/>
      <c r="F161" s="78"/>
      <c r="G161" s="78"/>
      <c r="H161" s="105"/>
    </row>
    <row r="162" ht="15.75" customHeight="1">
      <c r="B162" s="108" t="s">
        <v>415</v>
      </c>
      <c r="C162" s="109" t="s">
        <v>416</v>
      </c>
      <c r="D162" s="114">
        <v>17603.94</v>
      </c>
      <c r="E162" s="110"/>
      <c r="F162" s="110"/>
      <c r="G162" s="110"/>
      <c r="H162" s="88"/>
      <c r="K162" s="2">
        <v>46378.0</v>
      </c>
      <c r="L162" s="115">
        <v>17603.94</v>
      </c>
    </row>
    <row r="163" ht="15.75" customHeight="1">
      <c r="B163" s="108" t="s">
        <v>417</v>
      </c>
      <c r="C163" s="109" t="s">
        <v>418</v>
      </c>
      <c r="D163" s="114">
        <v>666754.13</v>
      </c>
      <c r="E163" s="110"/>
      <c r="F163" s="110"/>
      <c r="G163" s="110"/>
      <c r="H163" s="88"/>
      <c r="K163" s="2">
        <v>46378.0</v>
      </c>
      <c r="L163" s="115">
        <v>666754.13</v>
      </c>
    </row>
    <row r="164" ht="15.75" customHeight="1">
      <c r="B164" s="108" t="s">
        <v>419</v>
      </c>
      <c r="C164" s="109" t="s">
        <v>420</v>
      </c>
      <c r="D164" s="114">
        <v>799600.7</v>
      </c>
      <c r="E164" s="110"/>
      <c r="F164" s="110"/>
      <c r="G164" s="110"/>
      <c r="H164" s="88"/>
      <c r="K164" s="2">
        <v>46378.0</v>
      </c>
      <c r="L164" s="115">
        <v>799600.7</v>
      </c>
    </row>
    <row r="165" ht="15.75" customHeight="1">
      <c r="B165" s="108" t="s">
        <v>421</v>
      </c>
      <c r="C165" s="109" t="s">
        <v>422</v>
      </c>
      <c r="D165" s="114">
        <v>968648.96</v>
      </c>
      <c r="E165" s="110"/>
      <c r="F165" s="110"/>
      <c r="G165" s="110"/>
      <c r="H165" s="88"/>
      <c r="I165" s="1" t="s">
        <v>44</v>
      </c>
      <c r="K165" s="2">
        <v>46368.0</v>
      </c>
      <c r="L165" s="115">
        <v>968648.96</v>
      </c>
    </row>
    <row r="166" ht="15.75" customHeight="1">
      <c r="B166" s="108" t="s">
        <v>423</v>
      </c>
      <c r="C166" s="109" t="s">
        <v>424</v>
      </c>
      <c r="D166" s="114">
        <v>34367.0</v>
      </c>
      <c r="E166" s="110"/>
      <c r="F166" s="110"/>
      <c r="G166" s="110"/>
      <c r="H166" s="88"/>
      <c r="I166" s="1" t="s">
        <v>44</v>
      </c>
      <c r="K166" s="2">
        <v>46368.0</v>
      </c>
      <c r="L166" s="115">
        <v>34367.0</v>
      </c>
    </row>
    <row r="167" ht="15.75" customHeight="1">
      <c r="B167" s="90"/>
      <c r="C167" s="90"/>
      <c r="D167" s="90"/>
      <c r="E167" s="90"/>
      <c r="F167" s="90"/>
      <c r="G167" s="90"/>
      <c r="H167" s="88"/>
    </row>
    <row r="168" ht="15.75" customHeight="1">
      <c r="B168" s="112"/>
      <c r="C168" s="113"/>
      <c r="D168" s="113"/>
      <c r="E168" s="113"/>
      <c r="F168" s="102" t="s">
        <v>425</v>
      </c>
      <c r="G168" s="116">
        <v>2486974.73</v>
      </c>
      <c r="H168" s="104">
        <v>0.14</v>
      </c>
      <c r="M168" s="115">
        <f>SUM(L162:L166)</f>
        <v>2486974.73</v>
      </c>
    </row>
    <row r="169" ht="15.75" customHeight="1">
      <c r="B169" s="76" t="s">
        <v>426</v>
      </c>
      <c r="C169" s="9"/>
      <c r="D169" s="77" t="s">
        <v>427</v>
      </c>
      <c r="E169" s="78"/>
      <c r="F169" s="79" t="s">
        <v>428</v>
      </c>
      <c r="G169" s="79" t="s">
        <v>429</v>
      </c>
      <c r="H169" s="105"/>
    </row>
    <row r="170" ht="15.75" customHeight="1">
      <c r="B170" s="108" t="s">
        <v>430</v>
      </c>
      <c r="C170" s="108" t="s">
        <v>431</v>
      </c>
      <c r="D170" s="110"/>
      <c r="E170" s="110"/>
      <c r="F170" s="110"/>
      <c r="G170" s="95">
        <v>3500000.0</v>
      </c>
      <c r="H170" s="88"/>
      <c r="I170" s="1" t="s">
        <v>432</v>
      </c>
      <c r="K170" s="111" t="s">
        <v>411</v>
      </c>
      <c r="L170" s="117">
        <f>'LA UNION E HIJS'!B6</f>
        <v>1360711.39</v>
      </c>
    </row>
    <row r="171" ht="15.75" customHeight="1">
      <c r="B171" s="108" t="s">
        <v>433</v>
      </c>
      <c r="C171" s="108" t="s">
        <v>434</v>
      </c>
      <c r="D171" s="92">
        <v>87866.77</v>
      </c>
      <c r="E171" s="118"/>
      <c r="F171" s="118"/>
      <c r="G171" s="118"/>
      <c r="H171" s="88"/>
      <c r="I171" s="1" t="s">
        <v>156</v>
      </c>
      <c r="M171" s="1" t="s">
        <v>435</v>
      </c>
    </row>
    <row r="172" ht="15.75" customHeight="1">
      <c r="B172" s="108" t="s">
        <v>436</v>
      </c>
      <c r="C172" s="108" t="s">
        <v>437</v>
      </c>
      <c r="D172" s="110"/>
      <c r="E172" s="110"/>
      <c r="F172" s="119">
        <v>32000.04</v>
      </c>
      <c r="G172" s="110"/>
      <c r="H172" s="88"/>
      <c r="I172" s="1" t="s">
        <v>438</v>
      </c>
      <c r="M172" s="1" t="s">
        <v>435</v>
      </c>
    </row>
    <row r="173" ht="15.75" customHeight="1">
      <c r="B173" s="108" t="s">
        <v>439</v>
      </c>
      <c r="C173" s="108" t="s">
        <v>440</v>
      </c>
      <c r="D173" s="118"/>
      <c r="E173" s="118"/>
      <c r="F173" s="119">
        <v>32000.04</v>
      </c>
      <c r="G173" s="118"/>
      <c r="H173" s="88"/>
      <c r="I173" s="1" t="s">
        <v>441</v>
      </c>
      <c r="M173" s="1" t="s">
        <v>435</v>
      </c>
    </row>
    <row r="174" ht="15.75" customHeight="1">
      <c r="B174" s="108" t="s">
        <v>442</v>
      </c>
      <c r="C174" s="108" t="s">
        <v>443</v>
      </c>
      <c r="D174" s="110"/>
      <c r="E174" s="110"/>
      <c r="F174" s="120">
        <v>52000.0</v>
      </c>
      <c r="G174" s="110"/>
      <c r="H174" s="88"/>
      <c r="I174" s="1" t="s">
        <v>444</v>
      </c>
      <c r="K174" s="2">
        <v>46368.0</v>
      </c>
      <c r="L174" s="115">
        <v>52000.0</v>
      </c>
      <c r="M174" s="1" t="s">
        <v>445</v>
      </c>
    </row>
    <row r="175" ht="15.75" customHeight="1">
      <c r="B175" s="108" t="s">
        <v>446</v>
      </c>
      <c r="C175" s="108" t="s">
        <v>447</v>
      </c>
      <c r="D175" s="95">
        <v>212900.0</v>
      </c>
      <c r="E175" s="110"/>
      <c r="F175" s="110"/>
      <c r="G175" s="110"/>
      <c r="H175" s="88"/>
      <c r="I175" s="1" t="s">
        <v>444</v>
      </c>
      <c r="K175" s="2">
        <v>46368.0</v>
      </c>
      <c r="L175" s="36">
        <v>175845.0</v>
      </c>
      <c r="M175" s="1" t="s">
        <v>445</v>
      </c>
    </row>
    <row r="176" ht="15.75" customHeight="1">
      <c r="B176" s="108" t="s">
        <v>448</v>
      </c>
      <c r="C176" s="108" t="s">
        <v>449</v>
      </c>
      <c r="D176" s="110"/>
      <c r="E176" s="110"/>
      <c r="F176" s="120">
        <v>110000.0</v>
      </c>
      <c r="G176" s="110"/>
      <c r="H176" s="88"/>
      <c r="I176" s="1" t="s">
        <v>44</v>
      </c>
      <c r="K176" s="2">
        <v>46386.0</v>
      </c>
      <c r="L176" s="115">
        <v>110000.0</v>
      </c>
    </row>
    <row r="177" ht="15.75" customHeight="1">
      <c r="B177" s="108" t="s">
        <v>450</v>
      </c>
      <c r="C177" s="108" t="s">
        <v>451</v>
      </c>
      <c r="D177" s="121">
        <v>90000.0</v>
      </c>
      <c r="E177" s="110"/>
      <c r="F177" s="110"/>
      <c r="G177" s="110"/>
      <c r="H177" s="88"/>
      <c r="I177" s="1" t="s">
        <v>44</v>
      </c>
      <c r="K177" s="2">
        <v>46386.0</v>
      </c>
      <c r="L177" s="115">
        <v>90000.0</v>
      </c>
      <c r="M177" s="1" t="s">
        <v>452</v>
      </c>
    </row>
    <row r="178" ht="15.75" customHeight="1">
      <c r="B178" s="90"/>
      <c r="C178" s="90"/>
      <c r="D178" s="90"/>
      <c r="E178" s="90"/>
      <c r="F178" s="90"/>
      <c r="G178" s="90"/>
      <c r="H178" s="88"/>
    </row>
    <row r="179" ht="15.75" customHeight="1">
      <c r="B179" s="112"/>
      <c r="C179" s="113"/>
      <c r="D179" s="113"/>
      <c r="E179" s="113"/>
      <c r="F179" s="102" t="s">
        <v>453</v>
      </c>
      <c r="G179" s="103">
        <v>4116766.85</v>
      </c>
      <c r="H179" s="104">
        <v>0.24</v>
      </c>
      <c r="N179" s="43">
        <f>L177+L176+L175+L174+L170</f>
        <v>1788556.39</v>
      </c>
      <c r="O179" s="1" t="s">
        <v>454</v>
      </c>
    </row>
    <row r="180" ht="15.75" customHeight="1">
      <c r="B180" s="76" t="s">
        <v>455</v>
      </c>
      <c r="C180" s="9"/>
      <c r="D180" s="77" t="s">
        <v>456</v>
      </c>
      <c r="E180" s="78"/>
      <c r="F180" s="78"/>
      <c r="G180" s="78"/>
      <c r="H180" s="105"/>
    </row>
    <row r="181" ht="15.75" customHeight="1">
      <c r="B181" s="91" t="s">
        <v>457</v>
      </c>
      <c r="C181" s="9"/>
      <c r="D181" s="121">
        <v>90825.45</v>
      </c>
      <c r="E181" s="110"/>
      <c r="F181" s="110"/>
      <c r="G181" s="110"/>
      <c r="H181" s="88"/>
      <c r="K181" s="111" t="s">
        <v>411</v>
      </c>
      <c r="L181" s="115">
        <f>Comisiones!C21</f>
        <v>90825.45</v>
      </c>
    </row>
    <row r="182" ht="15.75" customHeight="1">
      <c r="B182" s="91" t="s">
        <v>458</v>
      </c>
      <c r="C182" s="9"/>
      <c r="D182" s="121">
        <v>207815.27</v>
      </c>
      <c r="E182" s="110"/>
      <c r="F182" s="110"/>
      <c r="G182" s="110"/>
      <c r="H182" s="88"/>
      <c r="K182" s="111" t="s">
        <v>411</v>
      </c>
      <c r="L182" s="115">
        <f>'25413'!B32</f>
        <v>207815.27</v>
      </c>
    </row>
    <row r="183" ht="15.75" customHeight="1">
      <c r="B183" s="112"/>
      <c r="C183" s="113"/>
      <c r="D183" s="113"/>
      <c r="E183" s="113"/>
      <c r="F183" s="102" t="s">
        <v>459</v>
      </c>
      <c r="G183" s="103">
        <v>298640.72</v>
      </c>
      <c r="H183" s="104">
        <v>0.02</v>
      </c>
      <c r="M183" s="122">
        <f>L182+L181</f>
        <v>298640.72</v>
      </c>
    </row>
    <row r="184" ht="15.75" customHeight="1">
      <c r="B184" s="76" t="s">
        <v>460</v>
      </c>
      <c r="C184" s="9"/>
      <c r="D184" s="77" t="s">
        <v>461</v>
      </c>
      <c r="E184" s="78"/>
      <c r="F184" s="78"/>
      <c r="G184" s="78"/>
      <c r="H184" s="105"/>
    </row>
    <row r="185" ht="15.75" customHeight="1">
      <c r="B185" s="108" t="s">
        <v>462</v>
      </c>
      <c r="C185" s="108" t="s">
        <v>463</v>
      </c>
      <c r="D185" s="121">
        <v>199165.23</v>
      </c>
      <c r="E185" s="110"/>
      <c r="F185" s="110"/>
      <c r="G185" s="110"/>
      <c r="H185" s="88"/>
      <c r="K185" s="2">
        <v>46360.0</v>
      </c>
      <c r="L185" s="123">
        <v>199165.23</v>
      </c>
    </row>
    <row r="186" ht="15.75" customHeight="1">
      <c r="B186" s="108" t="s">
        <v>464</v>
      </c>
      <c r="C186" s="109" t="s">
        <v>465</v>
      </c>
      <c r="D186" s="121">
        <v>12692.0</v>
      </c>
      <c r="E186" s="110"/>
      <c r="F186" s="110"/>
      <c r="G186" s="110"/>
      <c r="H186" s="88"/>
      <c r="K186" s="2">
        <v>46360.0</v>
      </c>
      <c r="L186" s="123">
        <v>12692.0</v>
      </c>
    </row>
    <row r="187" ht="15.75" customHeight="1">
      <c r="B187" s="112"/>
      <c r="C187" s="113"/>
      <c r="D187" s="113"/>
      <c r="E187" s="113"/>
      <c r="F187" s="102" t="s">
        <v>466</v>
      </c>
      <c r="G187" s="116">
        <v>211857.23</v>
      </c>
      <c r="H187" s="104">
        <v>0.01</v>
      </c>
      <c r="M187" s="123">
        <f>L186+L185</f>
        <v>211857.23</v>
      </c>
    </row>
    <row r="188" ht="15.75" customHeight="1">
      <c r="B188" s="76" t="s">
        <v>467</v>
      </c>
      <c r="C188" s="9"/>
      <c r="D188" s="124"/>
      <c r="E188" s="124" t="s">
        <v>468</v>
      </c>
      <c r="F188" s="79" t="s">
        <v>469</v>
      </c>
      <c r="G188" s="124"/>
      <c r="H188" s="105"/>
    </row>
    <row r="189" ht="15.75" customHeight="1">
      <c r="B189" s="108" t="s">
        <v>470</v>
      </c>
      <c r="C189" s="108" t="s">
        <v>471</v>
      </c>
      <c r="D189" s="110"/>
      <c r="E189" s="95">
        <v>3704325.04</v>
      </c>
      <c r="F189" s="110"/>
      <c r="G189" s="110"/>
      <c r="H189" s="88"/>
      <c r="I189" s="1" t="s">
        <v>44</v>
      </c>
      <c r="K189" s="2">
        <v>46361.0</v>
      </c>
      <c r="L189" s="37">
        <v>2372281.23</v>
      </c>
      <c r="M189" s="1" t="s">
        <v>472</v>
      </c>
    </row>
    <row r="190" ht="15.75" customHeight="1">
      <c r="B190" s="90"/>
      <c r="C190" s="90"/>
      <c r="D190" s="90"/>
      <c r="E190" s="90"/>
      <c r="F190" s="90"/>
      <c r="G190" s="90"/>
      <c r="H190" s="88"/>
    </row>
    <row r="191" ht="15.75" customHeight="1">
      <c r="B191" s="112"/>
      <c r="C191" s="113"/>
      <c r="D191" s="113"/>
      <c r="E191" s="113"/>
      <c r="F191" s="102" t="s">
        <v>473</v>
      </c>
      <c r="G191" s="103">
        <v>3704325.04</v>
      </c>
      <c r="H191" s="104">
        <v>0.21</v>
      </c>
      <c r="M191" s="37">
        <f>L189</f>
        <v>2372281.23</v>
      </c>
      <c r="N191" s="1" t="s">
        <v>454</v>
      </c>
    </row>
    <row r="192" ht="15.75" customHeight="1">
      <c r="B192" s="76" t="s">
        <v>474</v>
      </c>
      <c r="C192" s="9"/>
      <c r="D192" s="77" t="s">
        <v>475</v>
      </c>
      <c r="E192" s="124"/>
      <c r="F192" s="79" t="s">
        <v>476</v>
      </c>
      <c r="G192" s="125" t="s">
        <v>477</v>
      </c>
      <c r="H192" s="105"/>
    </row>
    <row r="193" ht="15.75" customHeight="1">
      <c r="B193" s="108" t="s">
        <v>478</v>
      </c>
      <c r="C193" s="108" t="s">
        <v>479</v>
      </c>
      <c r="D193" s="121">
        <v>70000.0</v>
      </c>
      <c r="E193" s="110"/>
      <c r="F193" s="110"/>
      <c r="G193" s="110"/>
      <c r="H193" s="88"/>
      <c r="I193" s="1" t="s">
        <v>480</v>
      </c>
      <c r="K193" s="2">
        <v>46361.0</v>
      </c>
      <c r="L193" s="126">
        <v>70000.0</v>
      </c>
    </row>
    <row r="194" ht="15.75" customHeight="1">
      <c r="B194" s="90"/>
      <c r="C194" s="90"/>
      <c r="D194" s="90"/>
      <c r="E194" s="90"/>
      <c r="F194" s="90"/>
      <c r="G194" s="90"/>
      <c r="H194" s="88"/>
      <c r="J194" s="127"/>
    </row>
    <row r="195" ht="15.75" customHeight="1">
      <c r="B195" s="112"/>
      <c r="C195" s="113"/>
      <c r="D195" s="113"/>
      <c r="E195" s="113"/>
      <c r="F195" s="102" t="s">
        <v>481</v>
      </c>
      <c r="G195" s="116">
        <v>70000.0</v>
      </c>
      <c r="H195" s="104">
        <v>0.0</v>
      </c>
      <c r="M195" s="127">
        <f>L193</f>
        <v>70000</v>
      </c>
      <c r="N195" s="1" t="s">
        <v>454</v>
      </c>
    </row>
    <row r="196" ht="15.75" customHeight="1">
      <c r="B196" s="76" t="s">
        <v>482</v>
      </c>
      <c r="C196" s="9"/>
      <c r="D196" s="77" t="s">
        <v>483</v>
      </c>
      <c r="E196" s="124"/>
      <c r="F196" s="79" t="s">
        <v>484</v>
      </c>
      <c r="G196" s="79" t="s">
        <v>485</v>
      </c>
      <c r="H196" s="105"/>
    </row>
    <row r="197" ht="15.75" customHeight="1">
      <c r="B197" s="91" t="s">
        <v>486</v>
      </c>
      <c r="C197" s="9"/>
      <c r="D197" s="121">
        <v>105000.0</v>
      </c>
      <c r="E197" s="110"/>
      <c r="F197" s="110"/>
      <c r="G197" s="110"/>
      <c r="H197" s="88"/>
      <c r="I197" s="1" t="s">
        <v>44</v>
      </c>
      <c r="K197" s="2">
        <v>46385.0</v>
      </c>
      <c r="L197" s="126">
        <v>105000.0</v>
      </c>
    </row>
    <row r="198" ht="15.75" customHeight="1">
      <c r="B198" s="91" t="s">
        <v>487</v>
      </c>
      <c r="C198" s="9"/>
      <c r="D198" s="92">
        <v>18900.0</v>
      </c>
      <c r="E198" s="110"/>
      <c r="F198" s="110"/>
      <c r="G198" s="110"/>
      <c r="H198" s="88"/>
      <c r="I198" s="1" t="s">
        <v>158</v>
      </c>
      <c r="M198" s="1" t="s">
        <v>435</v>
      </c>
    </row>
    <row r="199" ht="15.75" customHeight="1">
      <c r="B199" s="89"/>
      <c r="C199" s="9"/>
      <c r="D199" s="90"/>
      <c r="E199" s="90"/>
      <c r="F199" s="90"/>
      <c r="G199" s="90"/>
      <c r="H199" s="88"/>
    </row>
    <row r="200" ht="15.75" customHeight="1">
      <c r="B200" s="112"/>
      <c r="C200" s="113"/>
      <c r="D200" s="113"/>
      <c r="E200" s="113"/>
      <c r="F200" s="102" t="s">
        <v>488</v>
      </c>
      <c r="G200" s="103">
        <v>123900.0</v>
      </c>
      <c r="H200" s="104">
        <v>0.01</v>
      </c>
      <c r="M200" s="127">
        <f>L197</f>
        <v>105000</v>
      </c>
      <c r="N200" s="1" t="s">
        <v>454</v>
      </c>
    </row>
    <row r="201" ht="15.75" customHeight="1">
      <c r="B201" s="76" t="s">
        <v>489</v>
      </c>
      <c r="C201" s="9"/>
      <c r="D201" s="77" t="s">
        <v>490</v>
      </c>
      <c r="E201" s="78"/>
      <c r="F201" s="78"/>
      <c r="G201" s="78"/>
      <c r="H201" s="105"/>
    </row>
    <row r="202" ht="15.75" customHeight="1">
      <c r="B202" s="108" t="s">
        <v>491</v>
      </c>
      <c r="C202" s="108" t="s">
        <v>492</v>
      </c>
      <c r="D202" s="121">
        <v>390000.0</v>
      </c>
      <c r="E202" s="110"/>
      <c r="F202" s="110"/>
      <c r="G202" s="110"/>
      <c r="H202" s="88"/>
      <c r="I202" s="1" t="s">
        <v>44</v>
      </c>
      <c r="K202" s="2">
        <v>46385.0</v>
      </c>
      <c r="L202" s="126">
        <v>390000.0</v>
      </c>
    </row>
    <row r="203" ht="15.75" customHeight="1">
      <c r="B203" s="112"/>
      <c r="C203" s="113"/>
      <c r="D203" s="113"/>
      <c r="E203" s="113"/>
      <c r="F203" s="102" t="s">
        <v>493</v>
      </c>
      <c r="G203" s="103">
        <v>390000.0</v>
      </c>
      <c r="H203" s="104">
        <v>0.02</v>
      </c>
      <c r="M203" s="127">
        <f>L202</f>
        <v>390000</v>
      </c>
      <c r="N203" s="1" t="s">
        <v>454</v>
      </c>
    </row>
    <row r="204" ht="15.75" customHeight="1">
      <c r="B204" s="128"/>
      <c r="C204" s="129" t="s">
        <v>494</v>
      </c>
      <c r="D204" s="130">
        <v>9977961.53</v>
      </c>
      <c r="E204" s="130">
        <v>3704325.04</v>
      </c>
      <c r="F204" s="131">
        <v>226000.08</v>
      </c>
      <c r="G204" s="132">
        <v>3500000.0</v>
      </c>
      <c r="H204" s="63"/>
    </row>
    <row r="205" ht="15.75" customHeight="1">
      <c r="B205" s="133" t="s">
        <v>495</v>
      </c>
      <c r="C205" s="134"/>
      <c r="D205" s="134"/>
      <c r="E205" s="134"/>
      <c r="F205" s="135"/>
      <c r="G205" s="136">
        <v>1.740828665E7</v>
      </c>
      <c r="H205" s="104">
        <v>1.0</v>
      </c>
    </row>
    <row r="206" ht="15.75" customHeight="1"/>
    <row r="207" ht="15.75" customHeight="1"/>
    <row r="208" ht="15.75" customHeight="1"/>
    <row r="209" ht="15.75" customHeight="1">
      <c r="B209" s="1" t="s">
        <v>496</v>
      </c>
    </row>
    <row r="210" ht="15.75" customHeight="1">
      <c r="B210" s="137" t="s">
        <v>497</v>
      </c>
      <c r="C210" s="138">
        <v>1.076934131E7</v>
      </c>
      <c r="D210" s="9"/>
      <c r="E210" s="1" t="s">
        <v>498</v>
      </c>
    </row>
    <row r="211" ht="15.75" customHeight="1">
      <c r="B211" s="60" t="s">
        <v>499</v>
      </c>
      <c r="C211" s="139">
        <v>1.605039484E7</v>
      </c>
      <c r="D211" s="9"/>
      <c r="E211" s="43">
        <f>J77</f>
        <v>16050394.84</v>
      </c>
      <c r="F211" s="140" t="b">
        <f>E211=C211</f>
        <v>1</v>
      </c>
    </row>
    <row r="212" ht="15.75" customHeight="1">
      <c r="B212" s="60" t="s">
        <v>500</v>
      </c>
      <c r="C212" s="61" t="s">
        <v>501</v>
      </c>
      <c r="D212" s="141">
        <v>4052378.6</v>
      </c>
      <c r="E212" s="43">
        <f>M152</f>
        <v>4052378.6</v>
      </c>
      <c r="F212" s="140" t="b">
        <f t="shared" ref="F212:F219" si="1">E212=D212</f>
        <v>1</v>
      </c>
    </row>
    <row r="213" ht="15.75" customHeight="1">
      <c r="B213" s="60" t="s">
        <v>502</v>
      </c>
      <c r="C213" s="61" t="s">
        <v>503</v>
      </c>
      <c r="D213" s="141">
        <v>1546772.5</v>
      </c>
      <c r="E213" s="43">
        <f>L154</f>
        <v>1546772.5</v>
      </c>
      <c r="F213" s="140" t="b">
        <f t="shared" si="1"/>
        <v>1</v>
      </c>
    </row>
    <row r="214" ht="15.75" customHeight="1">
      <c r="B214" s="60" t="s">
        <v>504</v>
      </c>
      <c r="C214" s="61" t="s">
        <v>505</v>
      </c>
      <c r="D214" s="141">
        <v>410843.14</v>
      </c>
      <c r="E214" s="43">
        <f>M160</f>
        <v>410843.14</v>
      </c>
      <c r="F214" s="140" t="b">
        <f t="shared" si="1"/>
        <v>1</v>
      </c>
    </row>
    <row r="215" ht="15.75" customHeight="1">
      <c r="B215" s="60" t="s">
        <v>506</v>
      </c>
      <c r="C215" s="61" t="s">
        <v>507</v>
      </c>
      <c r="D215" s="141">
        <v>90825.45</v>
      </c>
      <c r="E215" s="43">
        <f>L181</f>
        <v>90825.45</v>
      </c>
      <c r="F215" s="140" t="b">
        <f t="shared" si="1"/>
        <v>1</v>
      </c>
    </row>
    <row r="216" ht="15.75" customHeight="1">
      <c r="B216" s="60" t="s">
        <v>508</v>
      </c>
      <c r="C216" s="61" t="s">
        <v>509</v>
      </c>
      <c r="D216" s="141">
        <v>211857.23</v>
      </c>
      <c r="E216" s="142">
        <f>M187</f>
        <v>211857.23</v>
      </c>
      <c r="F216" s="140" t="b">
        <f t="shared" si="1"/>
        <v>1</v>
      </c>
    </row>
    <row r="217" ht="15.75" customHeight="1">
      <c r="B217" s="60" t="s">
        <v>510</v>
      </c>
      <c r="C217" s="61" t="s">
        <v>511</v>
      </c>
      <c r="D217" s="141">
        <v>2486974.73</v>
      </c>
      <c r="E217" s="43">
        <f>M168</f>
        <v>2486974.73</v>
      </c>
      <c r="F217" s="140" t="b">
        <f t="shared" si="1"/>
        <v>1</v>
      </c>
    </row>
    <row r="218" ht="15.75" customHeight="1">
      <c r="B218" s="60" t="s">
        <v>512</v>
      </c>
      <c r="C218" s="61" t="s">
        <v>513</v>
      </c>
      <c r="D218" s="141">
        <v>9785837.62</v>
      </c>
      <c r="E218" s="143">
        <f>M203+M200+M195+M191+N179+'Diferencias Encontradas'!D33</f>
        <v>4725837.62</v>
      </c>
      <c r="F218" s="144" t="b">
        <f t="shared" si="1"/>
        <v>0</v>
      </c>
      <c r="G218" s="145" t="s">
        <v>514</v>
      </c>
    </row>
    <row r="219" ht="15.75" customHeight="1">
      <c r="B219" s="60" t="s">
        <v>515</v>
      </c>
      <c r="C219" s="61" t="s">
        <v>516</v>
      </c>
      <c r="D219" s="141">
        <v>207815.27</v>
      </c>
      <c r="E219" s="43">
        <f>L182</f>
        <v>207815.27</v>
      </c>
      <c r="F219" s="140" t="b">
        <f t="shared" si="1"/>
        <v>1</v>
      </c>
      <c r="I219" s="1" t="s">
        <v>517</v>
      </c>
      <c r="J219" s="142">
        <f>E218+G235+G236+G237+G238+'Diferencias Encontradas'!C29</f>
        <v>9785837.62</v>
      </c>
      <c r="K219" s="140" t="b">
        <f>J219=D218</f>
        <v>1</v>
      </c>
    </row>
    <row r="220" ht="15.75" customHeight="1">
      <c r="B220" s="137" t="s">
        <v>518</v>
      </c>
      <c r="C220" s="138">
        <v>8026431.61</v>
      </c>
      <c r="D220" s="9"/>
      <c r="E220" s="1" t="s">
        <v>498</v>
      </c>
      <c r="F220" s="50">
        <f>C210+E211-(SUM(E212:E219))</f>
        <v>13086431.61</v>
      </c>
    </row>
    <row r="221" ht="15.75" customHeight="1"/>
    <row r="222" ht="15.75" customHeight="1"/>
    <row r="223" ht="15.75" customHeight="1"/>
    <row r="224" ht="15.75" customHeight="1">
      <c r="B224" s="146" t="s">
        <v>519</v>
      </c>
      <c r="C224" s="8"/>
      <c r="D224" s="8"/>
      <c r="E224" s="8"/>
      <c r="F224" s="8"/>
      <c r="G224" s="9"/>
    </row>
    <row r="225" ht="15.75" customHeight="1"/>
    <row r="226" ht="15.75" customHeight="1"/>
    <row r="227" ht="15.75" customHeight="1">
      <c r="B227" s="147" t="s">
        <v>520</v>
      </c>
      <c r="C227" s="148" t="s">
        <v>521</v>
      </c>
      <c r="D227" s="9"/>
      <c r="E227" s="149" t="s">
        <v>522</v>
      </c>
      <c r="F227" s="149" t="s">
        <v>523</v>
      </c>
      <c r="G227" s="150" t="s">
        <v>524</v>
      </c>
      <c r="H227" s="150" t="s">
        <v>525</v>
      </c>
    </row>
    <row r="228" ht="15.75" customHeight="1">
      <c r="B228" s="151" t="s">
        <v>526</v>
      </c>
      <c r="C228" s="8"/>
      <c r="D228" s="8"/>
      <c r="E228" s="9"/>
      <c r="F228" s="152">
        <v>6971493.0</v>
      </c>
      <c r="G228" s="87"/>
      <c r="H228" s="87"/>
    </row>
    <row r="229" ht="15.75" customHeight="1">
      <c r="B229" s="147" t="s">
        <v>527</v>
      </c>
      <c r="C229" s="108" t="s">
        <v>528</v>
      </c>
      <c r="D229" s="108" t="s">
        <v>529</v>
      </c>
      <c r="E229" s="153">
        <v>1500000.0</v>
      </c>
      <c r="F229" s="153">
        <v>1500000.0</v>
      </c>
      <c r="G229" s="108" t="s">
        <v>530</v>
      </c>
      <c r="H229" s="109" t="s">
        <v>531</v>
      </c>
    </row>
    <row r="230" ht="15.75" customHeight="1">
      <c r="B230" s="147" t="s">
        <v>532</v>
      </c>
      <c r="C230" s="108" t="s">
        <v>533</v>
      </c>
      <c r="D230" s="108" t="s">
        <v>534</v>
      </c>
      <c r="E230" s="153">
        <v>1500000.0</v>
      </c>
      <c r="F230" s="153">
        <v>1500000.0</v>
      </c>
      <c r="G230" s="108" t="s">
        <v>535</v>
      </c>
      <c r="H230" s="109" t="s">
        <v>536</v>
      </c>
    </row>
    <row r="231" ht="15.75" customHeight="1">
      <c r="B231" s="147" t="s">
        <v>537</v>
      </c>
      <c r="C231" s="108" t="s">
        <v>538</v>
      </c>
      <c r="D231" s="108" t="s">
        <v>539</v>
      </c>
      <c r="E231" s="153">
        <v>1500000.0</v>
      </c>
      <c r="F231" s="153">
        <v>1500000.0</v>
      </c>
      <c r="G231" s="108" t="s">
        <v>540</v>
      </c>
      <c r="H231" s="109" t="s">
        <v>541</v>
      </c>
    </row>
    <row r="232" ht="15.75" customHeight="1">
      <c r="B232" s="147" t="s">
        <v>542</v>
      </c>
      <c r="C232" s="108" t="s">
        <v>543</v>
      </c>
      <c r="D232" s="108" t="s">
        <v>544</v>
      </c>
      <c r="E232" s="153">
        <v>1500000.0</v>
      </c>
      <c r="F232" s="153">
        <v>1500000.0</v>
      </c>
      <c r="G232" s="108" t="s">
        <v>545</v>
      </c>
      <c r="H232" s="109" t="s">
        <v>546</v>
      </c>
    </row>
    <row r="233" ht="15.75" customHeight="1">
      <c r="B233" s="154" t="s">
        <v>547</v>
      </c>
      <c r="C233" s="155" t="s">
        <v>548</v>
      </c>
      <c r="D233" s="155" t="s">
        <v>549</v>
      </c>
      <c r="E233" s="156">
        <v>1500000.0</v>
      </c>
      <c r="F233" s="156">
        <v>1315650.0</v>
      </c>
      <c r="G233" s="155" t="s">
        <v>550</v>
      </c>
      <c r="H233" s="157" t="s">
        <v>551</v>
      </c>
      <c r="I233" s="55" t="s">
        <v>552</v>
      </c>
      <c r="J233" s="158"/>
    </row>
    <row r="234" ht="15.75" customHeight="1">
      <c r="B234" s="150" t="s">
        <v>553</v>
      </c>
      <c r="C234" s="108" t="s">
        <v>554</v>
      </c>
      <c r="D234" s="108" t="s">
        <v>555</v>
      </c>
      <c r="E234" s="156">
        <v>1500000.0</v>
      </c>
      <c r="F234" s="108" t="s">
        <v>556</v>
      </c>
      <c r="G234" s="108" t="s">
        <v>557</v>
      </c>
      <c r="H234" s="109" t="s">
        <v>558</v>
      </c>
      <c r="I234" s="55" t="s">
        <v>559</v>
      </c>
    </row>
    <row r="235" ht="15.75" customHeight="1">
      <c r="B235" s="159"/>
      <c r="C235" s="108" t="s">
        <v>560</v>
      </c>
      <c r="D235" s="108" t="s">
        <v>561</v>
      </c>
      <c r="E235" s="108" t="s">
        <v>562</v>
      </c>
      <c r="F235" s="108" t="s">
        <v>563</v>
      </c>
      <c r="G235" s="160">
        <v>700000.0</v>
      </c>
      <c r="H235" s="161">
        <v>45996.0</v>
      </c>
      <c r="I235" s="55" t="s">
        <v>564</v>
      </c>
    </row>
    <row r="236" ht="15.75" customHeight="1">
      <c r="B236" s="159"/>
      <c r="C236" s="108" t="s">
        <v>565</v>
      </c>
      <c r="D236" s="108" t="s">
        <v>566</v>
      </c>
      <c r="E236" s="108" t="s">
        <v>567</v>
      </c>
      <c r="F236" s="108" t="s">
        <v>568</v>
      </c>
      <c r="G236" s="160">
        <v>1000000.0</v>
      </c>
      <c r="H236" s="161">
        <v>46003.0</v>
      </c>
      <c r="I236" s="55" t="s">
        <v>564</v>
      </c>
    </row>
    <row r="237" ht="15.75" customHeight="1">
      <c r="B237" s="159"/>
      <c r="C237" s="108" t="s">
        <v>569</v>
      </c>
      <c r="D237" s="108" t="s">
        <v>570</v>
      </c>
      <c r="E237" s="108" t="s">
        <v>571</v>
      </c>
      <c r="F237" s="108" t="s">
        <v>572</v>
      </c>
      <c r="G237" s="160">
        <v>1700000.0</v>
      </c>
      <c r="H237" s="161">
        <v>46009.0</v>
      </c>
      <c r="I237" s="1" t="s">
        <v>44</v>
      </c>
    </row>
    <row r="238" ht="15.75" customHeight="1">
      <c r="B238" s="159"/>
      <c r="C238" s="108" t="s">
        <v>573</v>
      </c>
      <c r="D238" s="108" t="s">
        <v>574</v>
      </c>
      <c r="E238" s="108" t="s">
        <v>575</v>
      </c>
      <c r="F238" s="108" t="s">
        <v>576</v>
      </c>
      <c r="G238" s="160">
        <v>1500000.0</v>
      </c>
      <c r="H238" s="161">
        <v>46020.0</v>
      </c>
      <c r="I238" s="1" t="s">
        <v>44</v>
      </c>
    </row>
    <row r="239" ht="15.75" customHeight="1">
      <c r="B239" s="87"/>
      <c r="C239" s="108" t="s">
        <v>577</v>
      </c>
      <c r="D239" s="108" t="s">
        <v>578</v>
      </c>
      <c r="E239" s="108" t="s">
        <v>579</v>
      </c>
      <c r="F239" s="108" t="s">
        <v>580</v>
      </c>
      <c r="G239" s="160">
        <v>1360711.0</v>
      </c>
      <c r="H239" s="161">
        <v>46021.0</v>
      </c>
      <c r="I239" s="1" t="s">
        <v>581</v>
      </c>
      <c r="J239" s="111" t="s">
        <v>411</v>
      </c>
    </row>
    <row r="240" ht="15.75" customHeight="1">
      <c r="B240" s="162"/>
      <c r="C240" s="65"/>
      <c r="D240" s="147" t="s">
        <v>582</v>
      </c>
      <c r="E240" s="163">
        <v>9000000.0</v>
      </c>
      <c r="F240" s="163">
        <v>1.4287143E7</v>
      </c>
      <c r="G240" s="164">
        <v>6260711.0</v>
      </c>
      <c r="H240" s="165"/>
    </row>
    <row r="241" ht="15.75" customHeight="1">
      <c r="B241" s="166"/>
      <c r="C241" s="167"/>
      <c r="D241" s="168" t="s">
        <v>583</v>
      </c>
      <c r="E241" s="169">
        <v>8026432.0</v>
      </c>
      <c r="F241" s="8"/>
      <c r="G241" s="9"/>
      <c r="H241" s="170"/>
    </row>
    <row r="242" ht="15.75" customHeight="1"/>
    <row r="243" ht="15.75" customHeight="1">
      <c r="B243" s="55" t="s">
        <v>584</v>
      </c>
    </row>
    <row r="244" ht="15.75" customHeight="1">
      <c r="B244" s="171" t="s">
        <v>585</v>
      </c>
      <c r="C244" s="172"/>
      <c r="D244" s="172"/>
      <c r="E244" s="172"/>
      <c r="F244" s="172"/>
      <c r="G244" s="172"/>
    </row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B135:E135"/>
    <mergeCell ref="B136:D136"/>
    <mergeCell ref="B130:C130"/>
    <mergeCell ref="B131:C131"/>
    <mergeCell ref="B132:C132"/>
    <mergeCell ref="B133:C133"/>
    <mergeCell ref="B134:E134"/>
    <mergeCell ref="F135:F136"/>
    <mergeCell ref="G135:G136"/>
    <mergeCell ref="B144:C144"/>
    <mergeCell ref="B145:C145"/>
    <mergeCell ref="B137:C137"/>
    <mergeCell ref="D137:E137"/>
    <mergeCell ref="B138:C138"/>
    <mergeCell ref="B139:C139"/>
    <mergeCell ref="B140:C140"/>
    <mergeCell ref="B141:C141"/>
    <mergeCell ref="B142:C142"/>
    <mergeCell ref="B146:C146"/>
    <mergeCell ref="B147:C147"/>
    <mergeCell ref="B148:C148"/>
    <mergeCell ref="B149:C149"/>
    <mergeCell ref="B150:E150"/>
    <mergeCell ref="B151:E151"/>
    <mergeCell ref="B152:F152"/>
    <mergeCell ref="B153:E153"/>
    <mergeCell ref="B154:C154"/>
    <mergeCell ref="D154:E154"/>
    <mergeCell ref="B157:C157"/>
    <mergeCell ref="B161:C161"/>
    <mergeCell ref="B169:C169"/>
    <mergeCell ref="B180:C180"/>
    <mergeCell ref="B181:C181"/>
    <mergeCell ref="B182:C182"/>
    <mergeCell ref="B184:C184"/>
    <mergeCell ref="B188:C188"/>
    <mergeCell ref="B192:C192"/>
    <mergeCell ref="B196:C196"/>
    <mergeCell ref="B197:C197"/>
    <mergeCell ref="C220:D220"/>
    <mergeCell ref="C227:D227"/>
    <mergeCell ref="B234:B239"/>
    <mergeCell ref="B240:C240"/>
    <mergeCell ref="B241:C241"/>
    <mergeCell ref="E241:G241"/>
    <mergeCell ref="G227:G228"/>
    <mergeCell ref="B228:E228"/>
    <mergeCell ref="B198:C198"/>
    <mergeCell ref="B199:C199"/>
    <mergeCell ref="B201:C201"/>
    <mergeCell ref="B205:F205"/>
    <mergeCell ref="C210:D210"/>
    <mergeCell ref="C211:D211"/>
    <mergeCell ref="B224:G224"/>
    <mergeCell ref="H96:H97"/>
    <mergeCell ref="I96:I97"/>
    <mergeCell ref="J96:J151"/>
    <mergeCell ref="H116:H117"/>
    <mergeCell ref="I116:I117"/>
    <mergeCell ref="H135:H136"/>
    <mergeCell ref="I135:I136"/>
    <mergeCell ref="H192:H194"/>
    <mergeCell ref="H196:H199"/>
    <mergeCell ref="H201:H202"/>
    <mergeCell ref="H227:H228"/>
    <mergeCell ref="J153:J155"/>
    <mergeCell ref="H157:H159"/>
    <mergeCell ref="H161:H167"/>
    <mergeCell ref="H169:H178"/>
    <mergeCell ref="H180:H182"/>
    <mergeCell ref="H184:H186"/>
    <mergeCell ref="H188:H190"/>
    <mergeCell ref="B2:H2"/>
    <mergeCell ref="B77:C77"/>
    <mergeCell ref="C89:D89"/>
    <mergeCell ref="B95:E95"/>
    <mergeCell ref="B96:E96"/>
    <mergeCell ref="F96:F97"/>
    <mergeCell ref="G96:G97"/>
    <mergeCell ref="B97:D97"/>
    <mergeCell ref="B98:C98"/>
    <mergeCell ref="D98:E98"/>
    <mergeCell ref="B99:C99"/>
    <mergeCell ref="B100:C100"/>
    <mergeCell ref="B101:C101"/>
    <mergeCell ref="B102:C102"/>
    <mergeCell ref="B103:C103"/>
    <mergeCell ref="B104:C104"/>
    <mergeCell ref="B105:C105"/>
    <mergeCell ref="B106:C106"/>
    <mergeCell ref="B107:C107"/>
    <mergeCell ref="B109:C109"/>
    <mergeCell ref="B110:C110"/>
    <mergeCell ref="B111:C111"/>
    <mergeCell ref="B112:C112"/>
    <mergeCell ref="B113:C113"/>
    <mergeCell ref="B114:C114"/>
    <mergeCell ref="B115:E115"/>
    <mergeCell ref="F116:F117"/>
    <mergeCell ref="G116:G117"/>
    <mergeCell ref="B116:E116"/>
    <mergeCell ref="B117:D117"/>
    <mergeCell ref="B118:C118"/>
    <mergeCell ref="D118:E118"/>
    <mergeCell ref="B119:C119"/>
    <mergeCell ref="B120:C120"/>
    <mergeCell ref="B121:C121"/>
    <mergeCell ref="B155:C155"/>
    <mergeCell ref="D155:E155"/>
    <mergeCell ref="B122:C122"/>
    <mergeCell ref="B123:C123"/>
    <mergeCell ref="B124:C124"/>
    <mergeCell ref="B125:C125"/>
    <mergeCell ref="B126:C126"/>
    <mergeCell ref="B128:C128"/>
    <mergeCell ref="B129:C129"/>
  </mergeCells>
  <hyperlinks>
    <hyperlink display="VER DETALLE" location="'Cuota Sindical'!A1" ref="K158"/>
    <hyperlink display="VER DETALLE" location="'LA UNION E HIJS'!A1" ref="K170"/>
    <hyperlink display="VER DETALLE" location="Comisiones!A1" ref="K181"/>
    <hyperlink display="VER DETALLE" location="'25413'!A1" ref="K182"/>
    <hyperlink display="VER DETALLE" location="'LA UNION E HIJS'!A1" ref="J239"/>
  </hyperlink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8.71"/>
  </cols>
  <sheetData>
    <row r="1">
      <c r="A1" s="1" t="s">
        <v>0</v>
      </c>
      <c r="B1" s="1" t="s">
        <v>1</v>
      </c>
      <c r="C1" s="1" t="s">
        <v>2</v>
      </c>
    </row>
    <row r="2">
      <c r="A2" s="2">
        <v>46368.0</v>
      </c>
      <c r="B2" s="1" t="s">
        <v>5</v>
      </c>
      <c r="C2" s="5">
        <v>15578.92</v>
      </c>
    </row>
    <row r="3">
      <c r="A3" s="2">
        <v>46368.0</v>
      </c>
      <c r="B3" s="1" t="s">
        <v>8</v>
      </c>
      <c r="C3" s="5">
        <v>140210.29</v>
      </c>
    </row>
    <row r="4">
      <c r="A4" s="2">
        <v>46368.0</v>
      </c>
      <c r="B4" s="1" t="s">
        <v>10</v>
      </c>
      <c r="C4" s="5">
        <v>255053.93</v>
      </c>
    </row>
    <row r="5">
      <c r="C5" s="5">
        <f>SUM(C2:C4)</f>
        <v>410843.14</v>
      </c>
    </row>
    <row r="6">
      <c r="C6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3.71"/>
  </cols>
  <sheetData>
    <row r="1">
      <c r="A1" s="3" t="s">
        <v>3</v>
      </c>
      <c r="B1" s="3" t="s">
        <v>4</v>
      </c>
      <c r="C1" s="3" t="s">
        <v>6</v>
      </c>
    </row>
    <row r="2">
      <c r="A2" s="1" t="s">
        <v>7</v>
      </c>
      <c r="B2" s="2">
        <v>46357.0</v>
      </c>
      <c r="C2" s="5">
        <v>55000.0</v>
      </c>
    </row>
    <row r="3">
      <c r="A3" s="1" t="s">
        <v>9</v>
      </c>
      <c r="B3" s="2">
        <v>46357.0</v>
      </c>
      <c r="C3" s="5">
        <v>11550.0</v>
      </c>
    </row>
    <row r="4">
      <c r="A4" s="1" t="s">
        <v>11</v>
      </c>
      <c r="B4" s="2">
        <v>46357.0</v>
      </c>
      <c r="C4" s="5">
        <v>6987.75</v>
      </c>
    </row>
    <row r="5">
      <c r="A5" s="1" t="s">
        <v>12</v>
      </c>
      <c r="B5" s="2">
        <v>46357.0</v>
      </c>
      <c r="C5" s="5">
        <v>4400.0</v>
      </c>
    </row>
    <row r="6">
      <c r="A6" s="1" t="s">
        <v>13</v>
      </c>
      <c r="B6" s="2">
        <v>46361.0</v>
      </c>
      <c r="C6" s="5">
        <v>1000.0</v>
      </c>
    </row>
    <row r="7">
      <c r="A7" s="1" t="s">
        <v>9</v>
      </c>
      <c r="B7" s="2">
        <v>46361.0</v>
      </c>
      <c r="C7" s="5">
        <v>210.0</v>
      </c>
    </row>
    <row r="8">
      <c r="A8" s="1" t="s">
        <v>11</v>
      </c>
      <c r="B8" s="2">
        <v>46361.0</v>
      </c>
      <c r="C8" s="5">
        <v>127.05</v>
      </c>
    </row>
    <row r="9">
      <c r="A9" s="1" t="s">
        <v>13</v>
      </c>
      <c r="B9" s="2">
        <v>46368.0</v>
      </c>
      <c r="C9" s="5">
        <v>1000.0</v>
      </c>
    </row>
    <row r="10">
      <c r="A10" s="1" t="s">
        <v>9</v>
      </c>
      <c r="B10" s="2">
        <v>46368.0</v>
      </c>
      <c r="C10" s="5">
        <v>210.0</v>
      </c>
    </row>
    <row r="11">
      <c r="A11" s="1" t="s">
        <v>11</v>
      </c>
      <c r="B11" s="2">
        <v>46368.0</v>
      </c>
      <c r="C11" s="5">
        <v>127.05</v>
      </c>
    </row>
    <row r="12">
      <c r="A12" s="1" t="s">
        <v>15</v>
      </c>
      <c r="B12" s="2">
        <v>46372.0</v>
      </c>
      <c r="C12" s="5">
        <v>1116.25</v>
      </c>
    </row>
    <row r="13">
      <c r="A13" s="1" t="s">
        <v>9</v>
      </c>
      <c r="B13" s="2">
        <v>46372.0</v>
      </c>
      <c r="C13" s="5">
        <v>234.41</v>
      </c>
    </row>
    <row r="14">
      <c r="A14" s="1" t="s">
        <v>11</v>
      </c>
      <c r="B14" s="2">
        <v>46372.0</v>
      </c>
      <c r="C14" s="5">
        <v>141.82</v>
      </c>
    </row>
    <row r="15">
      <c r="A15" s="1" t="s">
        <v>16</v>
      </c>
      <c r="B15" s="2">
        <v>46372.0</v>
      </c>
      <c r="C15" s="5">
        <v>1897.65</v>
      </c>
    </row>
    <row r="16">
      <c r="A16" s="1" t="s">
        <v>9</v>
      </c>
      <c r="B16" s="2">
        <v>46372.0</v>
      </c>
      <c r="C16" s="5">
        <v>398.51</v>
      </c>
    </row>
    <row r="17">
      <c r="A17" s="1" t="s">
        <v>11</v>
      </c>
      <c r="B17" s="2">
        <v>46372.0</v>
      </c>
      <c r="C17" s="5">
        <v>241.1</v>
      </c>
    </row>
    <row r="18">
      <c r="A18" s="1" t="s">
        <v>15</v>
      </c>
      <c r="B18" s="2">
        <v>46379.0</v>
      </c>
      <c r="C18" s="5">
        <v>4625.0</v>
      </c>
    </row>
    <row r="19">
      <c r="A19" s="1" t="s">
        <v>9</v>
      </c>
      <c r="B19" s="2">
        <v>46379.0</v>
      </c>
      <c r="C19" s="5">
        <v>971.25</v>
      </c>
    </row>
    <row r="20">
      <c r="A20" s="1" t="s">
        <v>11</v>
      </c>
      <c r="B20" s="2">
        <v>46379.0</v>
      </c>
      <c r="C20" s="5">
        <v>587.61</v>
      </c>
    </row>
    <row r="21">
      <c r="C21" s="20">
        <f>C20+C19+C18+C17+C16+C15+C14+C13+C12+C11+C10+C9+C8+C7+C6+C5+C4+C3+C2</f>
        <v>90825.45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4</v>
      </c>
      <c r="B1" s="4" t="s">
        <v>6</v>
      </c>
    </row>
    <row r="2">
      <c r="A2" s="2">
        <v>46357.0</v>
      </c>
      <c r="B2" s="5">
        <v>2638.94</v>
      </c>
    </row>
    <row r="3">
      <c r="A3" s="2">
        <v>46357.0</v>
      </c>
      <c r="B3" s="5">
        <v>467.63</v>
      </c>
    </row>
    <row r="4">
      <c r="A4" s="2">
        <v>46358.0</v>
      </c>
      <c r="B4" s="5">
        <v>959.32</v>
      </c>
    </row>
    <row r="5">
      <c r="A5" s="2">
        <v>46360.0</v>
      </c>
      <c r="B5" s="5">
        <v>1271.14</v>
      </c>
    </row>
    <row r="6">
      <c r="A6" s="2">
        <v>46360.0</v>
      </c>
      <c r="B6" s="5">
        <v>10472.82</v>
      </c>
    </row>
    <row r="7">
      <c r="A7" s="2">
        <v>46360.0</v>
      </c>
      <c r="B7" s="5">
        <v>1218.4</v>
      </c>
    </row>
    <row r="8">
      <c r="A8" s="2">
        <v>46361.0</v>
      </c>
      <c r="B8" s="5">
        <v>33410.85</v>
      </c>
    </row>
    <row r="9">
      <c r="A9" s="2">
        <v>46361.0</v>
      </c>
      <c r="B9" s="5">
        <v>11696.78</v>
      </c>
    </row>
    <row r="10">
      <c r="A10" s="2">
        <v>46365.0</v>
      </c>
      <c r="B10" s="5">
        <v>15793.04</v>
      </c>
    </row>
    <row r="11">
      <c r="A11" s="2">
        <v>46365.0</v>
      </c>
      <c r="B11" s="5">
        <v>1091.8</v>
      </c>
    </row>
    <row r="12">
      <c r="A12" s="2">
        <v>46366.0</v>
      </c>
      <c r="B12" s="5">
        <v>3665.92</v>
      </c>
    </row>
    <row r="13">
      <c r="A13" s="2">
        <v>46367.0</v>
      </c>
      <c r="B13" s="5">
        <v>1218.4</v>
      </c>
    </row>
    <row r="14">
      <c r="A14" s="2">
        <v>46368.0</v>
      </c>
      <c r="B14" s="5">
        <v>26098.88</v>
      </c>
    </row>
    <row r="15">
      <c r="A15" s="2">
        <v>46368.0</v>
      </c>
      <c r="B15" s="5">
        <v>8691.17</v>
      </c>
    </row>
    <row r="16">
      <c r="A16" s="2">
        <v>46371.0</v>
      </c>
      <c r="B16" s="5">
        <v>14268.84</v>
      </c>
    </row>
    <row r="17">
      <c r="A17" s="2">
        <v>46371.0</v>
      </c>
      <c r="B17" s="5">
        <v>2546.51</v>
      </c>
    </row>
    <row r="18">
      <c r="A18" s="2">
        <v>46372.0</v>
      </c>
      <c r="B18" s="5">
        <v>24.18</v>
      </c>
    </row>
    <row r="19">
      <c r="A19" s="2">
        <v>46372.0</v>
      </c>
      <c r="B19" s="5">
        <v>4026.38</v>
      </c>
    </row>
    <row r="20">
      <c r="A20" s="2">
        <v>46373.0</v>
      </c>
      <c r="B20" s="5">
        <v>3353.81</v>
      </c>
    </row>
    <row r="21">
      <c r="A21" s="2">
        <v>46373.0</v>
      </c>
      <c r="B21" s="5">
        <v>1792.3</v>
      </c>
    </row>
    <row r="22">
      <c r="A22" s="2">
        <v>46374.0</v>
      </c>
      <c r="B22" s="5">
        <v>19965.13</v>
      </c>
    </row>
    <row r="23">
      <c r="A23" s="2">
        <v>46374.0</v>
      </c>
      <c r="B23" s="5">
        <v>1184.64</v>
      </c>
    </row>
    <row r="24">
      <c r="A24" s="2">
        <v>46375.0</v>
      </c>
      <c r="B24" s="5">
        <v>1049.6</v>
      </c>
    </row>
    <row r="25">
      <c r="A25" s="2">
        <v>46378.0</v>
      </c>
      <c r="B25" s="5">
        <v>8903.75</v>
      </c>
    </row>
    <row r="26">
      <c r="A26" s="2">
        <v>46378.0</v>
      </c>
      <c r="B26" s="5">
        <v>7926.8</v>
      </c>
    </row>
    <row r="27">
      <c r="A27" s="2">
        <v>46379.0</v>
      </c>
      <c r="B27" s="5">
        <v>37.1</v>
      </c>
    </row>
    <row r="28">
      <c r="A28" s="2">
        <v>46379.0</v>
      </c>
      <c r="B28" s="5">
        <v>1049.6</v>
      </c>
    </row>
    <row r="29">
      <c r="A29" s="2">
        <v>46385.0</v>
      </c>
      <c r="B29" s="5">
        <v>11970.0</v>
      </c>
    </row>
    <row r="30">
      <c r="A30" s="2">
        <v>46385.0</v>
      </c>
      <c r="B30" s="5">
        <v>1657.27</v>
      </c>
    </row>
    <row r="31">
      <c r="A31" s="2">
        <v>46386.0</v>
      </c>
      <c r="B31" s="5">
        <v>9364.27</v>
      </c>
    </row>
    <row r="32">
      <c r="B32" s="20">
        <f>SUM(B2:B31)</f>
        <v>207815.27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71"/>
  </cols>
  <sheetData>
    <row r="1">
      <c r="A1" s="2">
        <v>46386.0</v>
      </c>
      <c r="B1" s="5">
        <v>22895.81</v>
      </c>
      <c r="C1" s="1" t="s">
        <v>44</v>
      </c>
    </row>
    <row r="2">
      <c r="A2" s="2">
        <v>46386.0</v>
      </c>
      <c r="B2" s="5">
        <v>23598.23</v>
      </c>
      <c r="C2" s="1" t="s">
        <v>44</v>
      </c>
    </row>
    <row r="3">
      <c r="A3" s="2">
        <v>46386.0</v>
      </c>
      <c r="B3" s="5">
        <v>24361.2</v>
      </c>
      <c r="C3" s="1" t="s">
        <v>44</v>
      </c>
    </row>
    <row r="4">
      <c r="A4" s="2">
        <v>46386.0</v>
      </c>
      <c r="B4" s="5">
        <v>520591.32</v>
      </c>
      <c r="C4" s="1" t="s">
        <v>44</v>
      </c>
    </row>
    <row r="5">
      <c r="A5" s="2">
        <v>46386.0</v>
      </c>
      <c r="B5" s="5">
        <v>769264.83</v>
      </c>
      <c r="C5" s="1" t="s">
        <v>44</v>
      </c>
    </row>
    <row r="6">
      <c r="A6" s="1" t="s">
        <v>49</v>
      </c>
      <c r="B6" s="20">
        <f>SUM(B1:B5)</f>
        <v>1360711.39</v>
      </c>
    </row>
    <row r="1000">
      <c r="A1000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71"/>
    <col customWidth="1" min="2" max="2" width="49.71"/>
    <col customWidth="1" min="4" max="4" width="36.43"/>
    <col customWidth="1" min="6" max="6" width="139.29"/>
    <col customWidth="1" min="7" max="7" width="94.43"/>
  </cols>
  <sheetData>
    <row r="2">
      <c r="A2" s="26" t="s">
        <v>61</v>
      </c>
      <c r="F2" s="4"/>
      <c r="G2" s="4"/>
      <c r="H2" s="4"/>
      <c r="I2" s="4"/>
      <c r="J2" s="4"/>
      <c r="K2" s="4"/>
      <c r="L2" s="4"/>
    </row>
    <row r="3">
      <c r="A3" s="1" t="s">
        <v>0</v>
      </c>
      <c r="B3" s="1" t="s">
        <v>1</v>
      </c>
      <c r="C3" s="1" t="s">
        <v>65</v>
      </c>
      <c r="D3" s="1" t="s">
        <v>67</v>
      </c>
      <c r="E3" s="1" t="s">
        <v>68</v>
      </c>
      <c r="F3" s="27" t="s">
        <v>69</v>
      </c>
      <c r="G3" s="3"/>
      <c r="H3" s="4"/>
      <c r="I3" s="3"/>
      <c r="J3" s="3"/>
      <c r="K3" s="3"/>
      <c r="L3" s="4"/>
    </row>
    <row r="4">
      <c r="A4" s="2">
        <v>46361.0</v>
      </c>
      <c r="B4" s="1" t="s">
        <v>72</v>
      </c>
      <c r="C4" s="20">
        <f>'12.2025'!L114</f>
        <v>1054814</v>
      </c>
      <c r="D4" s="5">
        <v>1089415.0</v>
      </c>
      <c r="E4" s="20">
        <f t="shared" ref="E4:E15" si="1">C4-D4</f>
        <v>-34601</v>
      </c>
      <c r="F4" s="27" t="s">
        <v>79</v>
      </c>
      <c r="G4" s="29"/>
      <c r="H4" s="30"/>
      <c r="I4" s="31"/>
      <c r="J4" s="32"/>
      <c r="K4" s="33"/>
      <c r="L4" s="4"/>
    </row>
    <row r="5">
      <c r="A5" s="34">
        <v>46361.0</v>
      </c>
      <c r="B5" s="35" t="s">
        <v>84</v>
      </c>
      <c r="C5" s="36">
        <f>'12.2025'!L133</f>
        <v>682492</v>
      </c>
      <c r="D5" s="37">
        <v>681302.0</v>
      </c>
      <c r="E5" s="36">
        <f t="shared" si="1"/>
        <v>1190</v>
      </c>
      <c r="F5" s="38" t="s">
        <v>88</v>
      </c>
      <c r="G5" s="4"/>
      <c r="H5" s="40"/>
      <c r="I5" s="33"/>
      <c r="J5" s="33"/>
      <c r="K5" s="33"/>
      <c r="L5" s="4"/>
    </row>
    <row r="6">
      <c r="A6" s="34">
        <v>46361.0</v>
      </c>
      <c r="B6" s="35" t="s">
        <v>89</v>
      </c>
      <c r="C6" s="36">
        <f>'12.2025'!L149</f>
        <v>687551</v>
      </c>
      <c r="D6" s="37">
        <v>688435.0</v>
      </c>
      <c r="E6" s="36">
        <f t="shared" si="1"/>
        <v>-884</v>
      </c>
      <c r="F6" s="38" t="s">
        <v>91</v>
      </c>
      <c r="G6" s="4"/>
      <c r="H6" s="40"/>
      <c r="I6" s="33"/>
      <c r="J6" s="33"/>
      <c r="K6" s="33"/>
      <c r="L6" s="4"/>
    </row>
    <row r="7">
      <c r="A7" s="2">
        <v>46374.0</v>
      </c>
      <c r="B7" s="1" t="s">
        <v>94</v>
      </c>
      <c r="C7" s="20">
        <f>'12.2025'!L115</f>
        <v>676931.22</v>
      </c>
      <c r="D7" s="5">
        <v>1287347.0</v>
      </c>
      <c r="E7" s="20">
        <f t="shared" si="1"/>
        <v>-610415.78</v>
      </c>
      <c r="F7" s="27" t="s">
        <v>97</v>
      </c>
      <c r="G7" s="4"/>
      <c r="H7" s="40"/>
      <c r="I7" s="33"/>
      <c r="J7" s="33"/>
      <c r="K7" s="33"/>
      <c r="L7" s="4"/>
    </row>
    <row r="8">
      <c r="A8" s="2">
        <v>46374.0</v>
      </c>
      <c r="B8" s="1" t="s">
        <v>100</v>
      </c>
      <c r="C8" s="20">
        <f>'12.2025'!L134</f>
        <v>449120.28</v>
      </c>
      <c r="D8" s="5">
        <v>0.0</v>
      </c>
      <c r="E8" s="20">
        <f t="shared" si="1"/>
        <v>449120.28</v>
      </c>
      <c r="F8" s="27" t="s">
        <v>97</v>
      </c>
      <c r="G8" s="4"/>
      <c r="H8" s="40"/>
      <c r="I8" s="33"/>
      <c r="J8" s="33"/>
      <c r="K8" s="33"/>
      <c r="L8" s="4"/>
    </row>
    <row r="9">
      <c r="A9" s="2">
        <v>46374.0</v>
      </c>
      <c r="B9" s="1" t="s">
        <v>105</v>
      </c>
      <c r="C9" s="20">
        <f>'12.2025'!L150</f>
        <v>501470.1</v>
      </c>
      <c r="D9" s="5">
        <v>0.0</v>
      </c>
      <c r="E9" s="20">
        <f t="shared" si="1"/>
        <v>501470.1</v>
      </c>
      <c r="F9" s="27" t="s">
        <v>97</v>
      </c>
      <c r="G9" s="4"/>
      <c r="H9" s="40"/>
      <c r="I9" s="33"/>
      <c r="J9" s="33"/>
      <c r="K9" s="33"/>
      <c r="L9" s="4"/>
    </row>
    <row r="10">
      <c r="A10" s="2">
        <v>46368.0</v>
      </c>
      <c r="B10" s="1" t="s">
        <v>108</v>
      </c>
      <c r="C10" s="20">
        <f>'12.2025'!L154</f>
        <v>1546772.5</v>
      </c>
      <c r="D10" s="20">
        <f>'12.2025'!F154</f>
        <v>2526913.57</v>
      </c>
      <c r="E10" s="20">
        <f t="shared" si="1"/>
        <v>-980141.07</v>
      </c>
      <c r="F10" s="27" t="s">
        <v>113</v>
      </c>
      <c r="G10" s="4"/>
      <c r="H10" s="40"/>
      <c r="I10" s="33"/>
      <c r="J10" s="44"/>
      <c r="K10" s="33"/>
      <c r="L10" s="4"/>
    </row>
    <row r="11">
      <c r="A11" s="2">
        <v>46368.0</v>
      </c>
      <c r="B11" s="1" t="s">
        <v>5</v>
      </c>
      <c r="C11" s="5">
        <v>15578.92</v>
      </c>
      <c r="D11" s="45">
        <v>679584.04</v>
      </c>
      <c r="E11" s="20">
        <f t="shared" si="1"/>
        <v>-664005.12</v>
      </c>
      <c r="F11" s="27" t="s">
        <v>117</v>
      </c>
      <c r="G11" s="4"/>
      <c r="H11" s="40"/>
      <c r="I11" s="33"/>
      <c r="J11" s="44"/>
      <c r="K11" s="33"/>
      <c r="L11" s="4"/>
    </row>
    <row r="12">
      <c r="A12" s="2">
        <v>46368.0</v>
      </c>
      <c r="B12" s="1" t="s">
        <v>8</v>
      </c>
      <c r="C12" s="5">
        <v>140210.29</v>
      </c>
      <c r="D12" s="5">
        <v>0.0</v>
      </c>
      <c r="E12" s="20">
        <f t="shared" si="1"/>
        <v>140210.29</v>
      </c>
      <c r="F12" s="27" t="s">
        <v>117</v>
      </c>
      <c r="G12" s="4"/>
      <c r="H12" s="40"/>
      <c r="I12" s="33"/>
      <c r="J12" s="44"/>
      <c r="K12" s="33"/>
      <c r="L12" s="4"/>
    </row>
    <row r="13">
      <c r="A13" s="2">
        <v>46368.0</v>
      </c>
      <c r="B13" s="1" t="s">
        <v>10</v>
      </c>
      <c r="C13" s="5">
        <v>255053.93</v>
      </c>
      <c r="D13" s="5">
        <v>0.0</v>
      </c>
      <c r="E13" s="20">
        <f t="shared" si="1"/>
        <v>255053.93</v>
      </c>
      <c r="F13" s="27" t="s">
        <v>117</v>
      </c>
      <c r="G13" s="4"/>
      <c r="H13" s="40"/>
      <c r="I13" s="33"/>
      <c r="J13" s="44"/>
      <c r="K13" s="33"/>
      <c r="L13" s="4"/>
    </row>
    <row r="14">
      <c r="A14" s="46" t="s">
        <v>126</v>
      </c>
      <c r="B14" s="46" t="s">
        <v>127</v>
      </c>
      <c r="C14" s="36">
        <v>1360711.3900000001</v>
      </c>
      <c r="D14" s="47">
        <v>3500000.0</v>
      </c>
      <c r="E14" s="36">
        <f t="shared" si="1"/>
        <v>-2139288.61</v>
      </c>
      <c r="F14" s="38" t="s">
        <v>130</v>
      </c>
      <c r="G14" s="4"/>
      <c r="H14" s="40"/>
      <c r="I14" s="33"/>
      <c r="J14" s="44"/>
      <c r="K14" s="33"/>
      <c r="L14" s="4"/>
    </row>
    <row r="15">
      <c r="A15" s="46">
        <v>46368.0</v>
      </c>
      <c r="B15" s="46" t="s">
        <v>132</v>
      </c>
      <c r="C15" s="36">
        <v>175845.0</v>
      </c>
      <c r="D15" s="47">
        <v>212900.0</v>
      </c>
      <c r="E15" s="36">
        <f t="shared" si="1"/>
        <v>-37055</v>
      </c>
      <c r="F15" s="38" t="s">
        <v>135</v>
      </c>
      <c r="G15" s="4"/>
      <c r="H15" s="40"/>
      <c r="I15" s="33"/>
      <c r="J15" s="44"/>
      <c r="K15" s="33"/>
      <c r="L15" s="4"/>
    </row>
    <row r="16">
      <c r="A16" s="2">
        <v>46361.0</v>
      </c>
      <c r="B16" s="1" t="s">
        <v>137</v>
      </c>
      <c r="C16" s="5">
        <v>2372281.23</v>
      </c>
      <c r="D16" s="45">
        <v>3704325.04</v>
      </c>
      <c r="E16" s="20">
        <f>D16-C16</f>
        <v>1332043.81</v>
      </c>
      <c r="F16" s="27" t="s">
        <v>117</v>
      </c>
      <c r="G16" s="4"/>
      <c r="H16" s="40"/>
      <c r="I16" s="33"/>
      <c r="J16" s="44"/>
      <c r="K16" s="33"/>
      <c r="L16" s="4"/>
    </row>
    <row r="17">
      <c r="F17" s="4"/>
      <c r="G17" s="4"/>
      <c r="H17" s="40"/>
      <c r="I17" s="33"/>
      <c r="J17" s="44"/>
      <c r="K17" s="33"/>
      <c r="L17" s="4"/>
    </row>
    <row r="18">
      <c r="A18" s="26" t="s">
        <v>142</v>
      </c>
      <c r="F18" s="4"/>
      <c r="G18" s="4"/>
      <c r="H18" s="4"/>
      <c r="I18" s="4"/>
      <c r="J18" s="4"/>
      <c r="K18" s="48"/>
      <c r="L18" s="4"/>
    </row>
    <row r="19">
      <c r="A19" s="2" t="s">
        <v>146</v>
      </c>
      <c r="B19" s="1" t="s">
        <v>147</v>
      </c>
      <c r="C19" s="1">
        <v>32000.04</v>
      </c>
      <c r="D19" s="1" t="s">
        <v>148</v>
      </c>
      <c r="F19" s="4"/>
      <c r="G19" s="4"/>
      <c r="H19" s="4"/>
      <c r="I19" s="4"/>
      <c r="J19" s="4"/>
      <c r="K19" s="4"/>
      <c r="L19" s="4"/>
    </row>
    <row r="20">
      <c r="A20" s="2" t="s">
        <v>151</v>
      </c>
      <c r="B20" s="1" t="s">
        <v>152</v>
      </c>
      <c r="C20" s="1">
        <v>32000.04</v>
      </c>
      <c r="D20" s="1" t="s">
        <v>153</v>
      </c>
      <c r="F20" s="4"/>
      <c r="G20" s="4"/>
      <c r="H20" s="4"/>
      <c r="I20" s="4"/>
      <c r="J20" s="4"/>
      <c r="K20" s="4"/>
      <c r="L20" s="4"/>
    </row>
    <row r="21">
      <c r="A21" s="49" t="s">
        <v>154</v>
      </c>
      <c r="B21" s="49" t="s">
        <v>155</v>
      </c>
      <c r="C21" s="50">
        <v>87866.77</v>
      </c>
      <c r="D21" s="1" t="s">
        <v>156</v>
      </c>
      <c r="F21" s="4"/>
      <c r="G21" s="4"/>
      <c r="H21" s="44"/>
      <c r="I21" s="4"/>
      <c r="J21" s="4"/>
      <c r="K21" s="4"/>
      <c r="L21" s="4"/>
    </row>
    <row r="22">
      <c r="A22" s="49" t="s">
        <v>157</v>
      </c>
      <c r="C22" s="50">
        <v>18900.0</v>
      </c>
      <c r="D22" s="1" t="s">
        <v>158</v>
      </c>
      <c r="F22" s="4"/>
      <c r="G22" s="4"/>
      <c r="H22" s="44"/>
      <c r="I22" s="4"/>
      <c r="J22" s="4"/>
      <c r="K22" s="4"/>
      <c r="L22" s="4"/>
    </row>
    <row r="23">
      <c r="A23" s="27"/>
      <c r="C23" s="5"/>
      <c r="F23" s="4"/>
      <c r="G23" s="4"/>
      <c r="H23" s="44"/>
      <c r="I23" s="4"/>
      <c r="J23" s="4"/>
      <c r="K23" s="4"/>
      <c r="L23" s="4"/>
    </row>
    <row r="24">
      <c r="A24" s="51" t="s">
        <v>160</v>
      </c>
      <c r="C24" s="5"/>
      <c r="F24" s="4"/>
      <c r="G24" s="4"/>
      <c r="H24" s="44"/>
      <c r="I24" s="4"/>
      <c r="J24" s="4"/>
      <c r="K24" s="4"/>
      <c r="L24" s="4"/>
    </row>
    <row r="25">
      <c r="B25" s="27" t="s">
        <v>163</v>
      </c>
      <c r="C25" s="52" t="s">
        <v>164</v>
      </c>
      <c r="D25" s="53">
        <v>65000.0</v>
      </c>
      <c r="F25" s="4"/>
      <c r="G25" s="4"/>
      <c r="H25" s="48"/>
      <c r="I25" s="4"/>
      <c r="J25" s="4"/>
      <c r="K25" s="4"/>
      <c r="L25" s="4"/>
    </row>
    <row r="26">
      <c r="C26" s="5"/>
      <c r="F26" s="4"/>
      <c r="G26" s="4"/>
      <c r="H26" s="4"/>
      <c r="I26" s="4"/>
      <c r="J26" s="4"/>
      <c r="K26" s="4"/>
      <c r="L26" s="4"/>
    </row>
    <row r="27">
      <c r="A27" s="26" t="s">
        <v>168</v>
      </c>
      <c r="G27" s="4"/>
      <c r="H27" s="4"/>
      <c r="I27" s="4"/>
      <c r="J27" s="4"/>
      <c r="K27" s="4"/>
      <c r="L27" s="4"/>
    </row>
    <row r="28">
      <c r="A28" s="2">
        <v>46361.0</v>
      </c>
      <c r="B28" s="1" t="s">
        <v>170</v>
      </c>
      <c r="C28" s="5">
        <v>700000.0</v>
      </c>
      <c r="D28" s="1" t="s">
        <v>172</v>
      </c>
      <c r="E28" s="1" t="s">
        <v>173</v>
      </c>
      <c r="F28" s="4"/>
      <c r="J28" s="4"/>
      <c r="K28" s="4"/>
      <c r="L28" s="4"/>
    </row>
    <row r="29">
      <c r="A29" s="54">
        <v>46368.0</v>
      </c>
      <c r="B29" s="55" t="s">
        <v>175</v>
      </c>
      <c r="C29" s="56">
        <v>160000.0</v>
      </c>
      <c r="D29" s="55" t="s">
        <v>177</v>
      </c>
      <c r="E29" s="55" t="s">
        <v>178</v>
      </c>
      <c r="F29" s="4"/>
      <c r="G29" s="4"/>
      <c r="H29" s="4"/>
      <c r="I29" s="4"/>
      <c r="J29" s="4"/>
      <c r="K29" s="4"/>
      <c r="L29" s="4"/>
    </row>
    <row r="30">
      <c r="A30" s="2">
        <v>46368.0</v>
      </c>
      <c r="B30" s="1" t="s">
        <v>170</v>
      </c>
      <c r="C30" s="5">
        <v>1000000.0</v>
      </c>
      <c r="D30" s="1" t="s">
        <v>181</v>
      </c>
      <c r="E30" s="1" t="s">
        <v>173</v>
      </c>
      <c r="G30" s="4"/>
      <c r="H30" s="4"/>
      <c r="I30" s="4"/>
      <c r="J30" s="4"/>
      <c r="K30" s="4"/>
      <c r="L30" s="4"/>
    </row>
    <row r="31">
      <c r="A31" s="2">
        <v>46374.0</v>
      </c>
      <c r="B31" s="1" t="s">
        <v>170</v>
      </c>
      <c r="C31" s="5">
        <v>1700000.0</v>
      </c>
      <c r="D31" s="1" t="s">
        <v>183</v>
      </c>
      <c r="E31" s="1" t="s">
        <v>173</v>
      </c>
      <c r="F31" s="4"/>
      <c r="G31" s="4"/>
      <c r="H31" s="4"/>
      <c r="I31" s="48"/>
      <c r="J31" s="4"/>
      <c r="K31" s="4"/>
      <c r="L31" s="4"/>
    </row>
    <row r="32">
      <c r="A32" s="2">
        <v>46378.0</v>
      </c>
      <c r="B32" s="1" t="s">
        <v>170</v>
      </c>
      <c r="C32" s="5">
        <v>1500000.0</v>
      </c>
      <c r="D32" s="1" t="s">
        <v>186</v>
      </c>
      <c r="E32" s="1" t="s">
        <v>173</v>
      </c>
      <c r="F32" s="4"/>
      <c r="G32" s="4"/>
      <c r="H32" s="4"/>
      <c r="I32" s="4"/>
      <c r="J32" s="4"/>
      <c r="K32" s="4"/>
      <c r="L32" s="4"/>
    </row>
    <row r="33">
      <c r="C33" s="5"/>
      <c r="G33" s="4"/>
      <c r="H33" s="4"/>
      <c r="I33" s="4"/>
      <c r="J33" s="4"/>
      <c r="K33" s="4"/>
      <c r="L33" s="4"/>
    </row>
    <row r="34">
      <c r="F34" s="4"/>
      <c r="G34" s="4"/>
      <c r="H34" s="4"/>
      <c r="I34" s="48"/>
      <c r="J34" s="4"/>
      <c r="K34" s="4"/>
      <c r="L34" s="4"/>
    </row>
    <row r="36">
      <c r="A36" s="4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2026-08-08T04:09:51Z</dcterms:created>
  <dc:creator>Martin Fagalde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2026-01-06T00:00:00Z</vt:filetime>
  </property>
  <property fmtid="{D5CDD505-2E9C-101B-9397-08002B2CF9AE}" pid="4" name="Creator">
    <vt:lpwstr>Microsoft® Word para Microsoft 365</vt:lpwstr>
  </property>
  <property fmtid="{D5CDD505-2E9C-101B-9397-08002B2CF9AE}" pid="5" name="LastSaved">
    <vt:filetime>2026-08-08T00:00:00Z</vt:filetime>
  </property>
  <property fmtid="{D5CDD505-2E9C-101B-9397-08002B2CF9AE}" pid="6" name="Producer">
    <vt:lpwstr>Microsoft® Word para Microsoft 365</vt:lpwstr>
  </property>
</Properties>
</file>