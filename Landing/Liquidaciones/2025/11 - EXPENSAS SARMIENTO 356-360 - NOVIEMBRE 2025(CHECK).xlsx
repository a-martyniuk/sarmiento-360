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.2025" sheetId="1" r:id="rId4"/>
    <sheet state="visible" name="Cuota Sindical" sheetId="2" r:id="rId5"/>
    <sheet state="visible" name="Comisiones" sheetId="3" r:id="rId6"/>
    <sheet state="visible" name="25413" sheetId="4" r:id="rId7"/>
    <sheet state="visible" name="Diferencias encontradas" sheetId="5" r:id="rId8"/>
  </sheets>
  <definedNames/>
  <calcPr/>
  <extLst>
    <ext uri="GoogleSheetsCustomDataVersion2">
      <go:sheetsCustomData xmlns:go="http://customooxmlschemas.google.com/" r:id="rId9" roundtripDataChecksum="IwyujMpYgiWaPB2+EOAbirr1tixYFjFvhYb2cbGs4bE="/>
    </ext>
  </extLst>
</workbook>
</file>

<file path=xl/sharedStrings.xml><?xml version="1.0" encoding="utf-8"?>
<sst xmlns="http://schemas.openxmlformats.org/spreadsheetml/2006/main" count="554" uniqueCount="507">
  <si>
    <t>FED arg de trab</t>
  </si>
  <si>
    <t>Detalle</t>
  </si>
  <si>
    <t>Fecha</t>
  </si>
  <si>
    <t>Monto</t>
  </si>
  <si>
    <t>LA BOLETA SINDICAL NO REFLEJA ESE MONTO</t>
  </si>
  <si>
    <t>Comision gastos de cuenta</t>
  </si>
  <si>
    <t>sind un trab fate</t>
  </si>
  <si>
    <t>IVA</t>
  </si>
  <si>
    <t>Fed arg trab ren</t>
  </si>
  <si>
    <t>Per IVA</t>
  </si>
  <si>
    <t>IMP ING Brutos</t>
  </si>
  <si>
    <t>Comision transferencia de fondos</t>
  </si>
  <si>
    <t>Perc IVA</t>
  </si>
  <si>
    <t>comisio entre bocs</t>
  </si>
  <si>
    <t>comision dep efvo</t>
  </si>
  <si>
    <t>ok</t>
  </si>
  <si>
    <t>ING brutos</t>
  </si>
  <si>
    <r>
      <rPr>
        <rFont val="Calibri"/>
        <b/>
        <color theme="1"/>
        <sz val="8.0"/>
      </rPr>
      <t>LIQUIDACION DE GASTOS</t>
    </r>
  </si>
  <si>
    <r>
      <rPr>
        <rFont val="Calibri"/>
        <b/>
        <color theme="1"/>
        <sz val="8.0"/>
      </rPr>
      <t>MES DE LIQUIDACIÓN (CIERRE):</t>
    </r>
  </si>
  <si>
    <r>
      <rPr>
        <rFont val="Calibri"/>
        <b/>
        <color theme="1"/>
        <sz val="8.0"/>
      </rPr>
      <t>NOVIEMBRE 2025</t>
    </r>
  </si>
  <si>
    <r>
      <rPr>
        <rFont val="Calibri"/>
        <b/>
        <color theme="1"/>
        <sz val="8.0"/>
      </rPr>
      <t>MES DE VENCIMIENTO DE LA LIQUIDACION:</t>
    </r>
  </si>
  <si>
    <r>
      <rPr>
        <rFont val="Calibri"/>
        <b/>
        <color theme="1"/>
        <sz val="8.0"/>
      </rPr>
      <t>DICIEMBRE 2025</t>
    </r>
  </si>
  <si>
    <r>
      <rPr>
        <rFont val="Calibri"/>
        <b/>
        <color theme="1"/>
        <sz val="8.0"/>
      </rPr>
      <t xml:space="preserve">ADMINISTRACIÓN
</t>
    </r>
  </si>
  <si>
    <r>
      <rPr>
        <rFont val="Calibri"/>
        <b/>
        <color theme="1"/>
        <sz val="8.0"/>
      </rPr>
      <t xml:space="preserve">CONSORCIO
</t>
    </r>
  </si>
  <si>
    <r>
      <rPr>
        <rFont val="Calibri"/>
        <b/>
        <color rgb="FF000000"/>
        <sz val="11.0"/>
      </rPr>
      <t xml:space="preserve">Estado de cuentas y prorrateo
</t>
    </r>
    <r>
      <rPr>
        <rFont val="Calibri"/>
        <b/>
        <color rgb="FF000000"/>
        <sz val="10.0"/>
      </rPr>
      <t>PERIODO NOVIEMBRE 2025                                                     VENCIMIENTO 15/12/2025                                                         Tasa de interés: 7,30%</t>
    </r>
  </si>
  <si>
    <r>
      <rPr>
        <rFont val="Calibri"/>
        <b/>
        <color theme="1"/>
        <sz val="9.0"/>
      </rPr>
      <t>UF</t>
    </r>
  </si>
  <si>
    <r>
      <rPr>
        <rFont val="Calibri"/>
        <b/>
        <color theme="1"/>
        <sz val="9.0"/>
      </rPr>
      <t>DEPTO</t>
    </r>
  </si>
  <si>
    <r>
      <rPr>
        <rFont val="Calibri"/>
        <b/>
        <color theme="1"/>
        <sz val="9.0"/>
      </rPr>
      <t>PROPIETARIOS</t>
    </r>
  </si>
  <si>
    <r>
      <rPr>
        <rFont val="Calibri"/>
        <b/>
        <color theme="1"/>
        <sz val="9.0"/>
      </rPr>
      <t>PORCENTUAL</t>
    </r>
  </si>
  <si>
    <r>
      <rPr>
        <rFont val="Calibri"/>
        <b/>
        <color theme="1"/>
        <sz val="9.0"/>
      </rPr>
      <t>SALDO ANTERIOR</t>
    </r>
  </si>
  <si>
    <r>
      <rPr>
        <rFont val="Calibri"/>
        <b/>
        <color theme="1"/>
        <sz val="9.0"/>
      </rPr>
      <t>PAGOS</t>
    </r>
  </si>
  <si>
    <r>
      <rPr>
        <rFont val="Calibri"/>
        <b/>
        <color theme="1"/>
        <sz val="9.0"/>
      </rPr>
      <t>SALDO</t>
    </r>
  </si>
  <si>
    <t>Monto Pagado</t>
  </si>
  <si>
    <r>
      <rPr>
        <rFont val="Calibri"/>
        <b/>
        <color theme="1"/>
        <sz val="9.0"/>
      </rPr>
      <t>1°A - 356</t>
    </r>
  </si>
  <si>
    <r>
      <rPr>
        <rFont val="Calibri"/>
        <b/>
        <color theme="1"/>
        <sz val="9.0"/>
      </rPr>
      <t>SEVERINO</t>
    </r>
  </si>
  <si>
    <t>DEP EFVO</t>
  </si>
  <si>
    <r>
      <rPr>
        <rFont val="Calibri"/>
        <b/>
        <color theme="1"/>
        <sz val="9.0"/>
      </rPr>
      <t>1°C - 356</t>
    </r>
  </si>
  <si>
    <r>
      <rPr>
        <rFont val="Calibri"/>
        <b/>
        <color theme="1"/>
        <sz val="9.0"/>
      </rPr>
      <t>FERNANDEZ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</si>
  <si>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</si>
  <si>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1°B - 356</t>
    </r>
  </si>
  <si>
    <r>
      <rPr>
        <rFont val="Calibri"/>
        <b/>
        <color theme="1"/>
        <sz val="9.0"/>
      </rPr>
      <t>ALVAREZ MARIA INES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</si>
  <si>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</si>
  <si>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1°A - 360</t>
    </r>
  </si>
  <si>
    <r>
      <rPr>
        <rFont val="Calibri"/>
        <b/>
        <color theme="1"/>
        <sz val="9.0"/>
      </rPr>
      <t>PERRI</t>
    </r>
  </si>
  <si>
    <t>DIFERENCIAS ENTRE LO LOQUIDADO Y LO REALMENTE ABONADO</t>
  </si>
  <si>
    <r>
      <rPr>
        <rFont val="Calibri"/>
        <color theme="1"/>
        <sz val="9.0"/>
      </rPr>
      <t>$         -</t>
    </r>
  </si>
  <si>
    <t>FECHA</t>
  </si>
  <si>
    <t>DETALLE</t>
  </si>
  <si>
    <t>PAGO REALIZADO</t>
  </si>
  <si>
    <r>
      <rPr>
        <rFont val="Calibri"/>
        <b/>
        <color theme="1"/>
        <sz val="9.0"/>
      </rPr>
      <t>1°C - 360</t>
    </r>
  </si>
  <si>
    <t xml:space="preserve">EN LIQUIDACIÓN </t>
  </si>
  <si>
    <t>DIF</t>
  </si>
  <si>
    <r>
      <rPr>
        <rFont val="Calibri"/>
        <b/>
        <color theme="1"/>
        <sz val="9.0"/>
      </rPr>
      <t>BONFANTI</t>
    </r>
  </si>
  <si>
    <t>OBSERVACION</t>
  </si>
  <si>
    <t>TRANSFERENCIA BANCARIA REALIZADA A MARIA MERCEDES DELJA</t>
  </si>
  <si>
    <r>
      <rPr>
        <rFont val="Calibri"/>
        <color theme="1"/>
        <sz val="9.0"/>
      </rPr>
      <t>$         -</t>
    </r>
  </si>
  <si>
    <t xml:space="preserve">JUAN MANUEL FAGUNDEZ </t>
  </si>
  <si>
    <t>SIN NINGUN TIPO DE ACLARACIÓN EN LIQUIDACION O COMPROBANTE</t>
  </si>
  <si>
    <r>
      <rPr>
        <rFont val="Calibri"/>
        <b/>
        <color theme="1"/>
        <sz val="9.0"/>
      </rPr>
      <t>1°B - 360</t>
    </r>
  </si>
  <si>
    <t>TRANSFERENCIA DUPLICADA AL SEÑOR CRISTIAN OGAZ AMBAS POR 35000</t>
  </si>
  <si>
    <r>
      <rPr>
        <rFont val="Calibri"/>
        <b/>
        <color theme="1"/>
        <sz val="9.0"/>
      </rPr>
      <t>MAGLIOLO SILVIA</t>
    </r>
  </si>
  <si>
    <t>TRANSFERENCIA DUPLICADA</t>
  </si>
  <si>
    <t>SEGURIDAD NOVIEMBRE 2025 FACTURA N° 00002-0044</t>
  </si>
  <si>
    <r>
      <rPr>
        <rFont val="Calibri"/>
        <color theme="1"/>
        <sz val="9.0"/>
      </rPr>
      <t>$         -</t>
    </r>
  </si>
  <si>
    <t>RODRIGUEZ OUTES</t>
  </si>
  <si>
    <t>IMPORTE DEVENGADO NO REAL (LIQUIDACION MES ANTERIOR SIN COMPROBANTES EN EL MES ANTERIOR)</t>
  </si>
  <si>
    <t>SEGURO INTEGRAL DEL CONSORCIO</t>
  </si>
  <si>
    <r>
      <rPr>
        <rFont val="Calibri"/>
        <b/>
        <color theme="1"/>
        <sz val="9.0"/>
      </rPr>
      <t>2°A - 356</t>
    </r>
  </si>
  <si>
    <r>
      <rPr>
        <rFont val="Calibri"/>
        <b/>
        <color theme="1"/>
        <sz val="9.0"/>
      </rPr>
      <t>MALDAJAN</t>
    </r>
  </si>
  <si>
    <t>DIFERENCIA LIQUIDADA CON ABONADA</t>
  </si>
  <si>
    <t>CLEANSERVICE - PRODUCTOS DE LIMPIEZA, BOLSAS, CONCENTRADO, TRAPO DE PISO</t>
  </si>
  <si>
    <t>SEGUN ESTO SE ABONO POR MENOS, AUNQUE EL COMPROBANTE NO ES VÁLIDO COMO FACTURA. TENEMOS LA FACTURA?</t>
  </si>
  <si>
    <t>ASCENSORES GUILLERMI - Diferencia de factura de octubre</t>
  </si>
  <si>
    <t>NO SE PUEDE COMPROBAR DADO QUE NO FACILITARON LOS COMPROBANTES DE ESE MES Y CLARAMENTE EL DEPOSITO ES MUY SUPERIOR</t>
  </si>
  <si>
    <t>CUOTAS SINDICALES</t>
  </si>
  <si>
    <t>AGUSTINA CASTRO ACE</t>
  </si>
  <si>
    <r>
      <rPr>
        <rFont val="Calibri"/>
        <b/>
        <color theme="1"/>
        <sz val="9.0"/>
      </rPr>
      <t>2°C - 356</t>
    </r>
  </si>
  <si>
    <t>CARGAS SOCIALES</t>
  </si>
  <si>
    <r>
      <rPr>
        <rFont val="Calibri"/>
        <b/>
        <color theme="1"/>
        <sz val="9.0"/>
      </rPr>
      <t>CARROSO</t>
    </r>
  </si>
  <si>
    <t>SUELDO JUAN</t>
  </si>
  <si>
    <r>
      <rPr>
        <rFont val="Calibri"/>
        <color theme="1"/>
        <sz val="9.0"/>
      </rPr>
      <t>$         -</t>
    </r>
  </si>
  <si>
    <t>SUELDO JAVIER</t>
  </si>
  <si>
    <t>JUAN IGNACIO DIAZ</t>
  </si>
  <si>
    <r>
      <rPr>
        <rFont val="Calibri"/>
        <b/>
        <color theme="1"/>
        <sz val="9.0"/>
      </rPr>
      <t>2°B - 356</t>
    </r>
  </si>
  <si>
    <r>
      <rPr>
        <rFont val="Calibri"/>
        <b/>
        <color theme="1"/>
        <sz val="9.0"/>
      </rPr>
      <t>BLAUSTEIN</t>
    </r>
  </si>
  <si>
    <t>LIQUIDACIÓN SIN PAGO REGISTRADO POR CUENTA BANCARIA</t>
  </si>
  <si>
    <r>
      <rPr>
        <rFont val="Calibri"/>
        <color theme="1"/>
        <sz val="9.0"/>
      </rPr>
      <t>$         -</t>
    </r>
  </si>
  <si>
    <t>FB SANEAMIENTO MEDIOAMBIENTAL</t>
  </si>
  <si>
    <t>ROSA ANTONIA GUALLIN</t>
  </si>
  <si>
    <t>Factura 0001-1751</t>
  </si>
  <si>
    <t>DESTAPACIONES ITALOAMERICANAS</t>
  </si>
  <si>
    <t>Factura nro 00002-1490</t>
  </si>
  <si>
    <r>
      <rPr>
        <rFont val="Calibri"/>
        <b/>
        <color theme="1"/>
        <sz val="9.0"/>
      </rPr>
      <t>2°A - 360</t>
    </r>
  </si>
  <si>
    <t>LECOS SERVICIOS</t>
  </si>
  <si>
    <t>Factura nro 00004-0384 armado de tapas cubre toma agua bomberos</t>
  </si>
  <si>
    <r>
      <rPr>
        <rFont val="Calibri"/>
        <b/>
        <color theme="1"/>
        <sz val="9.0"/>
      </rPr>
      <t>LOPARDO</t>
    </r>
  </si>
  <si>
    <t>PAVON RIVEROS LUIS</t>
  </si>
  <si>
    <t>Factura nro 00003-0161, reparacion cielo raso de cocina, mano de obra y materiales. 1 B 360</t>
  </si>
  <si>
    <r>
      <rPr>
        <rFont val="Calibri"/>
        <color theme="1"/>
        <sz val="9.0"/>
      </rPr>
      <t>$         -</t>
    </r>
  </si>
  <si>
    <t>JUAN IGNACIO SAEZ GA</t>
  </si>
  <si>
    <t>PAGO REGISTRADOS QUE NO FIGURAN EN EXTRACTO NOVIEMBRE  Y SI CONSIDERA LA ADMINISTRACIÓN</t>
  </si>
  <si>
    <r>
      <rPr>
        <rFont val="Calibri"/>
        <color theme="1"/>
        <sz val="9.0"/>
      </rPr>
      <t>CASTRO</t>
    </r>
  </si>
  <si>
    <r>
      <rPr>
        <rFont val="Calibri"/>
        <color theme="1"/>
        <sz val="9.0"/>
      </rPr>
      <t>7°C - 360</t>
    </r>
  </si>
  <si>
    <r>
      <rPr>
        <rFont val="Calibri"/>
        <b/>
        <color theme="1"/>
        <sz val="9.0"/>
      </rPr>
      <t>2°C - 360</t>
    </r>
  </si>
  <si>
    <t>PAGO RECIBIDO BANCARIAMENTE NO ADJUDICADO EN LIQUIDACIÓN</t>
  </si>
  <si>
    <r>
      <rPr>
        <rFont val="Calibri"/>
        <b/>
        <color theme="1"/>
        <sz val="9.0"/>
      </rPr>
      <t>MENA</t>
    </r>
  </si>
  <si>
    <r>
      <rPr>
        <rFont val="Calibri"/>
        <color theme="1"/>
        <sz val="9.0"/>
      </rPr>
      <t>$         -</t>
    </r>
  </si>
  <si>
    <t>JONTE LUCAS MARTIN</t>
  </si>
  <si>
    <r>
      <rPr>
        <rFont val="Calibri"/>
        <b/>
        <color theme="1"/>
        <sz val="9.0"/>
      </rPr>
      <t>2°B - 360</t>
    </r>
  </si>
  <si>
    <r>
      <rPr>
        <rFont val="Calibri"/>
        <b/>
        <color theme="1"/>
        <sz val="9.0"/>
      </rPr>
      <t>PUMA ROSA</t>
    </r>
  </si>
  <si>
    <r>
      <rPr>
        <rFont val="Calibri"/>
        <color theme="1"/>
        <sz val="9.0"/>
      </rPr>
      <t>$         -</t>
    </r>
  </si>
  <si>
    <t xml:space="preserve">COL SOFIA TRINIDAD </t>
  </si>
  <si>
    <r>
      <rPr>
        <rFont val="Calibri"/>
        <b/>
        <color theme="1"/>
        <sz val="9.0"/>
      </rPr>
      <t>3°A - 356</t>
    </r>
  </si>
  <si>
    <r>
      <rPr>
        <rFont val="Calibri"/>
        <b/>
        <color theme="1"/>
        <sz val="9.0"/>
      </rPr>
      <t>GRIMM</t>
    </r>
  </si>
  <si>
    <r>
      <rPr>
        <rFont val="Calibri"/>
        <color theme="1"/>
        <sz val="9.0"/>
      </rPr>
      <t>$         -</t>
    </r>
  </si>
  <si>
    <t>ORTIZ WENDY</t>
  </si>
  <si>
    <r>
      <rPr>
        <rFont val="Calibri"/>
        <b/>
        <color theme="1"/>
        <sz val="9.0"/>
      </rPr>
      <t>3°C - 356</t>
    </r>
  </si>
  <si>
    <r>
      <rPr>
        <rFont val="Calibri"/>
        <b/>
        <color theme="1"/>
        <sz val="9.0"/>
      </rPr>
      <t>GRIMM</t>
    </r>
  </si>
  <si>
    <r>
      <rPr>
        <rFont val="Calibri"/>
        <color theme="1"/>
        <sz val="9.0"/>
      </rPr>
      <t>$         -</t>
    </r>
  </si>
  <si>
    <t>COMBER DENISE</t>
  </si>
  <si>
    <t>11/!1</t>
  </si>
  <si>
    <r>
      <rPr>
        <rFont val="Calibri"/>
        <b/>
        <color theme="1"/>
        <sz val="9.0"/>
      </rPr>
      <t>3°B - 356</t>
    </r>
  </si>
  <si>
    <r>
      <rPr>
        <rFont val="Calibri"/>
        <b/>
        <color theme="1"/>
        <sz val="9.0"/>
      </rPr>
      <t>FERNANDEZ</t>
    </r>
  </si>
  <si>
    <r>
      <rPr>
        <rFont val="Calibri"/>
        <color theme="1"/>
        <sz val="9.0"/>
      </rPr>
      <t>$         -</t>
    </r>
  </si>
  <si>
    <t>RAGAZZI SRL</t>
  </si>
  <si>
    <r>
      <rPr>
        <rFont val="Calibri"/>
        <b/>
        <color theme="1"/>
        <sz val="9.0"/>
      </rPr>
      <t>3°A - 360</t>
    </r>
  </si>
  <si>
    <r>
      <rPr>
        <rFont val="Calibri"/>
        <b/>
        <color theme="1"/>
        <sz val="9.0"/>
      </rPr>
      <t>IANELLO</t>
    </r>
  </si>
  <si>
    <r>
      <rPr>
        <rFont val="Calibri"/>
        <color theme="1"/>
        <sz val="9.0"/>
      </rPr>
      <t>$         -</t>
    </r>
  </si>
  <si>
    <t>RAIMUNDO ANTONIO CLE</t>
  </si>
  <si>
    <r>
      <rPr>
        <rFont val="Calibri"/>
        <b/>
        <color theme="1"/>
        <sz val="9.0"/>
      </rPr>
      <t>3°C - 360</t>
    </r>
  </si>
  <si>
    <r>
      <rPr>
        <rFont val="Calibri"/>
        <b/>
        <color theme="1"/>
        <sz val="9.0"/>
      </rPr>
      <t>MUSACCHIO</t>
    </r>
  </si>
  <si>
    <r>
      <rPr>
        <rFont val="Calibri"/>
        <color rgb="FFFF0000"/>
        <sz val="9.0"/>
      </rPr>
      <t>$         -</t>
    </r>
  </si>
  <si>
    <t>VANESA ALEJANDRA ELI</t>
  </si>
  <si>
    <r>
      <rPr>
        <rFont val="Calibri"/>
        <b/>
        <color theme="1"/>
        <sz val="9.0"/>
      </rPr>
      <t>3°B - 360</t>
    </r>
  </si>
  <si>
    <r>
      <rPr>
        <rFont val="Calibri"/>
        <b/>
        <color theme="1"/>
        <sz val="9.0"/>
      </rPr>
      <t>ROMBOUTS DIETER</t>
    </r>
  </si>
  <si>
    <r>
      <rPr>
        <rFont val="Calibri"/>
        <color theme="1"/>
        <sz val="9.0"/>
      </rPr>
      <t>$         -</t>
    </r>
  </si>
  <si>
    <t>RIVAS CECILIA</t>
  </si>
  <si>
    <r>
      <rPr>
        <rFont val="Calibri"/>
        <b/>
        <color theme="1"/>
        <sz val="9.0"/>
      </rPr>
      <t>4°A - 356</t>
    </r>
  </si>
  <si>
    <r>
      <rPr>
        <rFont val="Calibri"/>
        <b/>
        <color theme="1"/>
        <sz val="9.0"/>
      </rPr>
      <t>RIONEGRO CARLOS ALBERTO</t>
    </r>
  </si>
  <si>
    <t>PERALTA NATALIA VANESA</t>
  </si>
  <si>
    <r>
      <rPr>
        <rFont val="Calibri"/>
        <b/>
        <color theme="1"/>
        <sz val="9.0"/>
      </rPr>
      <t>4°C - 356</t>
    </r>
  </si>
  <si>
    <r>
      <rPr>
        <rFont val="Calibri"/>
        <b/>
        <color theme="1"/>
        <sz val="9.0"/>
      </rPr>
      <t>GIANOLA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</si>
  <si>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</si>
  <si>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4°B - 356</t>
    </r>
  </si>
  <si>
    <r>
      <rPr>
        <rFont val="Calibri"/>
        <b/>
        <color theme="1"/>
        <sz val="9.0"/>
      </rPr>
      <t>FRANCO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</si>
  <si>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</si>
  <si>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4°A - 360</t>
    </r>
  </si>
  <si>
    <r>
      <rPr>
        <rFont val="Calibri"/>
        <b/>
        <color theme="1"/>
        <sz val="9.0"/>
      </rPr>
      <t>DOMINGUEZ OSVALDO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</si>
  <si>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</si>
  <si>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4°C - 360</t>
    </r>
  </si>
  <si>
    <r>
      <rPr>
        <rFont val="Calibri"/>
        <b/>
        <color theme="1"/>
        <sz val="9.0"/>
      </rPr>
      <t>CALANDRA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</si>
  <si>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</si>
  <si>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4°B - 360</t>
    </r>
  </si>
  <si>
    <r>
      <rPr>
        <rFont val="Calibri"/>
        <b/>
        <color theme="1"/>
        <sz val="9.0"/>
      </rPr>
      <t>TAKEDA LAURA NANCY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</si>
  <si>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</si>
  <si>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5°A - 356</t>
    </r>
  </si>
  <si>
    <r>
      <rPr>
        <rFont val="Calibri"/>
        <b/>
        <color theme="1"/>
        <sz val="9.0"/>
      </rPr>
      <t>SUAREZ PATRICIO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</si>
  <si>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</si>
  <si>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5°C - 356</t>
    </r>
  </si>
  <si>
    <r>
      <rPr>
        <rFont val="Calibri"/>
        <b/>
        <color theme="1"/>
        <sz val="9.0"/>
      </rPr>
      <t>LANATI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</si>
  <si>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</si>
  <si>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5°B - 356</t>
    </r>
  </si>
  <si>
    <r>
      <rPr>
        <rFont val="Calibri"/>
        <b/>
        <color theme="1"/>
        <sz val="9.0"/>
      </rPr>
      <t>NIBALDI AGUSTINA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</si>
  <si>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</si>
  <si>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5°A - 360</t>
    </r>
  </si>
  <si>
    <r>
      <rPr>
        <rFont val="Calibri"/>
        <b/>
        <color theme="1"/>
        <sz val="9.0"/>
      </rPr>
      <t>FLOLASCO SILVINA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</si>
  <si>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</si>
  <si>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5°C - 360</t>
    </r>
  </si>
  <si>
    <r>
      <rPr>
        <rFont val="Calibri"/>
        <b/>
        <color theme="1"/>
        <sz val="9.0"/>
      </rPr>
      <t>PUMAR RICARDO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</si>
  <si>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</si>
  <si>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5°B - 360</t>
    </r>
  </si>
  <si>
    <r>
      <rPr>
        <rFont val="Calibri"/>
        <b/>
        <color theme="1"/>
        <sz val="9.0"/>
      </rPr>
      <t>JAIMES MARISA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</si>
  <si>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</si>
  <si>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6°A - 356</t>
    </r>
  </si>
  <si>
    <r>
      <rPr>
        <rFont val="Calibri"/>
        <b/>
        <color theme="1"/>
        <sz val="9.0"/>
      </rPr>
      <t>FIORENZA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</si>
  <si>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</si>
  <si>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6°C - 356</t>
    </r>
  </si>
  <si>
    <r>
      <rPr>
        <rFont val="Calibri"/>
        <b/>
        <color theme="1"/>
        <sz val="9.0"/>
      </rPr>
      <t>JUIZ K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</si>
  <si>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</si>
  <si>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6°B - 356</t>
    </r>
  </si>
  <si>
    <r>
      <rPr>
        <rFont val="Calibri"/>
        <b/>
        <color theme="1"/>
        <sz val="9.0"/>
      </rPr>
      <t>DELGADO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</si>
  <si>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</si>
  <si>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6°A - 360</t>
    </r>
  </si>
  <si>
    <r>
      <rPr>
        <rFont val="Calibri"/>
        <b/>
        <color theme="1"/>
        <sz val="9.0"/>
      </rPr>
      <t>IGLESIAS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</si>
  <si>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</si>
  <si>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6°C - 360</t>
    </r>
  </si>
  <si>
    <r>
      <rPr>
        <rFont val="Calibri"/>
        <b/>
        <color theme="1"/>
        <sz val="9.0"/>
      </rPr>
      <t>FAPSA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</si>
  <si>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</si>
  <si>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6°B - 360</t>
    </r>
  </si>
  <si>
    <r>
      <rPr>
        <rFont val="Calibri"/>
        <b/>
        <color theme="1"/>
        <sz val="9.0"/>
      </rPr>
      <t>GIANCASPRO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</si>
  <si>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</si>
  <si>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7°A - 356</t>
    </r>
  </si>
  <si>
    <r>
      <rPr>
        <rFont val="Calibri"/>
        <b/>
        <color theme="1"/>
        <sz val="9.0"/>
      </rPr>
      <t>FIORENZA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</si>
  <si>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</si>
  <si>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7°C - 356</t>
    </r>
  </si>
  <si>
    <r>
      <rPr>
        <rFont val="Calibri"/>
        <b/>
        <color theme="1"/>
        <sz val="9.0"/>
      </rPr>
      <t>ANTON RICARDO ENRIQUE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</si>
  <si>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</si>
  <si>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7°B - 356</t>
    </r>
  </si>
  <si>
    <r>
      <rPr>
        <rFont val="Calibri"/>
        <b/>
        <color theme="1"/>
        <sz val="9.0"/>
      </rPr>
      <t>FRANQUEIRA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</si>
  <si>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</si>
  <si>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7°A - 360</t>
    </r>
  </si>
  <si>
    <r>
      <rPr>
        <rFont val="Calibri"/>
        <b/>
        <color theme="1"/>
        <sz val="9.0"/>
      </rPr>
      <t>BAL MARICEL</t>
    </r>
  </si>
  <si>
    <r>
      <rPr>
        <rFont val="Calibri"/>
        <b/>
        <color theme="1"/>
        <sz val="9.0"/>
      </rPr>
      <t>7°C - 360</t>
    </r>
  </si>
  <si>
    <r>
      <rPr>
        <rFont val="Calibri"/>
        <b/>
        <color theme="1"/>
        <sz val="9.0"/>
      </rPr>
      <t>CASTRO</t>
    </r>
  </si>
  <si>
    <t>DEMOSTRAR EL PAGO</t>
  </si>
  <si>
    <r>
      <rPr>
        <rFont val="Calibri"/>
        <b/>
        <color theme="1"/>
        <sz val="9.0"/>
      </rPr>
      <t>7°B - 360</t>
    </r>
  </si>
  <si>
    <r>
      <rPr>
        <rFont val="Calibri"/>
        <b/>
        <color theme="1"/>
        <sz val="9.0"/>
      </rPr>
      <t>DEL RIO ANDREA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</si>
  <si>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</si>
  <si>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8°A - 356</t>
    </r>
  </si>
  <si>
    <r>
      <rPr>
        <rFont val="Calibri"/>
        <b/>
        <color theme="1"/>
        <sz val="9.0"/>
      </rPr>
      <t>SIMON PABLO</t>
    </r>
  </si>
  <si>
    <r>
      <rPr>
        <rFont val="Calibri"/>
        <b/>
        <color theme="1"/>
        <sz val="9.0"/>
      </rPr>
      <t>8°C - 356</t>
    </r>
  </si>
  <si>
    <r>
      <rPr>
        <rFont val="Calibri"/>
        <b/>
        <color theme="1"/>
        <sz val="9.0"/>
      </rPr>
      <t>RAAD J. F.</t>
    </r>
  </si>
  <si>
    <r>
      <rPr>
        <rFont val="Calibri"/>
        <b/>
        <color theme="1"/>
        <sz val="9.0"/>
      </rPr>
      <t>8°B - 356</t>
    </r>
  </si>
  <si>
    <r>
      <rPr>
        <rFont val="Calibri"/>
        <b/>
        <color theme="1"/>
        <sz val="9.0"/>
      </rPr>
      <t>PONZIO FACUNDO TOMAS</t>
    </r>
  </si>
  <si>
    <r>
      <rPr>
        <rFont val="Calibri"/>
        <b/>
        <color theme="1"/>
        <sz val="9.0"/>
      </rPr>
      <t>8°A - 360</t>
    </r>
  </si>
  <si>
    <r>
      <rPr>
        <rFont val="Calibri"/>
        <b/>
        <color theme="1"/>
        <sz val="9.0"/>
      </rPr>
      <t>DURRUTY - VAZQUEZ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</si>
  <si>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</si>
  <si>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8°C - 360</t>
    </r>
  </si>
  <si>
    <r>
      <rPr>
        <rFont val="Calibri"/>
        <b/>
        <color theme="1"/>
        <sz val="9.0"/>
      </rPr>
      <t>CICCONE-ROSSI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</si>
  <si>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</si>
  <si>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8°B - 360</t>
    </r>
  </si>
  <si>
    <r>
      <rPr>
        <rFont val="Calibri"/>
        <b/>
        <color theme="1"/>
        <sz val="9.0"/>
      </rPr>
      <t>MALLAMACE MARTA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</si>
  <si>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</si>
  <si>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9°A - 356</t>
    </r>
  </si>
  <si>
    <r>
      <rPr>
        <rFont val="Calibri"/>
        <b/>
        <color theme="1"/>
        <sz val="9.0"/>
      </rPr>
      <t>CALONGE RICARDO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</si>
  <si>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</si>
  <si>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9°B - 356</t>
    </r>
  </si>
  <si>
    <r>
      <rPr>
        <rFont val="Calibri"/>
        <b/>
        <color theme="1"/>
        <sz val="9.0"/>
      </rPr>
      <t>TOSAR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</si>
  <si>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</si>
  <si>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9°A - 360</t>
    </r>
  </si>
  <si>
    <r>
      <rPr>
        <rFont val="Calibri"/>
        <b/>
        <color theme="1"/>
        <sz val="9.0"/>
      </rPr>
      <t>FAPSA</t>
    </r>
  </si>
  <si>
    <t>EFVO+DEPO</t>
  </si>
  <si>
    <r>
      <rPr>
        <rFont val="Calibri"/>
        <b/>
        <color theme="1"/>
        <sz val="9.0"/>
      </rPr>
      <t>9°B - 360</t>
    </r>
  </si>
  <si>
    <r>
      <rPr>
        <rFont val="Calibri"/>
        <b/>
        <color theme="1"/>
        <sz val="9.0"/>
      </rPr>
      <t>FAPSA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</si>
  <si>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</si>
  <si>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10°A - 356</t>
    </r>
  </si>
  <si>
    <r>
      <rPr>
        <rFont val="Calibri"/>
        <b/>
        <color theme="1"/>
        <sz val="9.0"/>
      </rPr>
      <t>RICCI - ROLDAN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</si>
  <si>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</si>
  <si>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10°B - 356</t>
    </r>
  </si>
  <si>
    <r>
      <rPr>
        <rFont val="Calibri"/>
        <b/>
        <color theme="1"/>
        <sz val="9.0"/>
      </rPr>
      <t>PRIMAVERA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</si>
  <si>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</si>
  <si>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10°A - 360</t>
    </r>
  </si>
  <si>
    <r>
      <rPr>
        <rFont val="Calibri"/>
        <b/>
        <color theme="1"/>
        <sz val="9.0"/>
      </rPr>
      <t>MARTYNIUK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</si>
  <si>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</si>
  <si>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10°B - 360</t>
    </r>
  </si>
  <si>
    <r>
      <rPr>
        <rFont val="Calibri"/>
        <b/>
        <color theme="1"/>
        <sz val="9.0"/>
      </rPr>
      <t>GINES DEBORA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</si>
  <si>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</si>
  <si>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11°A - 356</t>
    </r>
  </si>
  <si>
    <r>
      <rPr>
        <rFont val="Calibri"/>
        <b/>
        <color theme="1"/>
        <sz val="9.0"/>
      </rPr>
      <t>ASSETTA ANA MARIA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</si>
  <si>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</si>
  <si>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11°B - 356</t>
    </r>
  </si>
  <si>
    <r>
      <rPr>
        <rFont val="Calibri"/>
        <b/>
        <color theme="1"/>
        <sz val="9.0"/>
      </rPr>
      <t>PRIMAVERA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</si>
  <si>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</si>
  <si>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11°A - 360</t>
    </r>
  </si>
  <si>
    <r>
      <rPr>
        <rFont val="Calibri"/>
        <b/>
        <color theme="1"/>
        <sz val="9.0"/>
      </rPr>
      <t>MARTYNIUK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</si>
  <si>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</si>
  <si>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11°B - 360</t>
    </r>
  </si>
  <si>
    <r>
      <rPr>
        <rFont val="Calibri"/>
        <b/>
        <color theme="1"/>
        <sz val="9.0"/>
      </rPr>
      <t>VILLAR</t>
    </r>
  </si>
  <si>
    <r>
      <rPr>
        <rFont val="Calibri"/>
        <b/>
        <color theme="1"/>
        <sz val="9.0"/>
      </rPr>
      <t>12°A - 356</t>
    </r>
  </si>
  <si>
    <r>
      <rPr>
        <rFont val="Calibri"/>
        <b/>
        <color theme="1"/>
        <sz val="9.0"/>
      </rPr>
      <t>FERNANDEZ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</si>
  <si>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</si>
  <si>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12°B - 356</t>
    </r>
  </si>
  <si>
    <r>
      <rPr>
        <rFont val="Calibri"/>
        <b/>
        <color theme="1"/>
        <sz val="9.0"/>
      </rPr>
      <t>LAGANA OSCAR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</si>
  <si>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</si>
  <si>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12°A - 360</t>
    </r>
  </si>
  <si>
    <r>
      <rPr>
        <rFont val="Calibri"/>
        <b/>
        <color theme="1"/>
        <sz val="9.0"/>
      </rPr>
      <t>VILELA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</si>
  <si>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</si>
  <si>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12°B - 360</t>
    </r>
  </si>
  <si>
    <r>
      <rPr>
        <rFont val="Calibri"/>
        <b/>
        <color theme="1"/>
        <sz val="9.0"/>
      </rPr>
      <t>MARTINIELLO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</si>
  <si>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</si>
  <si>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13°A - 356</t>
    </r>
  </si>
  <si>
    <r>
      <rPr>
        <rFont val="Calibri"/>
        <b/>
        <color theme="1"/>
        <sz val="9.0"/>
      </rPr>
      <t>GAVELLINI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</si>
  <si>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</si>
  <si>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13°B - 356</t>
    </r>
  </si>
  <si>
    <r>
      <rPr>
        <rFont val="Calibri"/>
        <b/>
        <color theme="1"/>
        <sz val="9.0"/>
      </rPr>
      <t>SEDAME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</si>
  <si>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</si>
  <si>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13°A - 360</t>
    </r>
  </si>
  <si>
    <r>
      <rPr>
        <rFont val="Calibri"/>
        <b/>
        <color theme="1"/>
        <sz val="9.0"/>
      </rPr>
      <t>BRUNO SANDRA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</si>
  <si>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</si>
  <si>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13°B - 360</t>
    </r>
  </si>
  <si>
    <r>
      <rPr>
        <rFont val="Calibri"/>
        <b/>
        <color theme="1"/>
        <sz val="9.0"/>
      </rPr>
      <t>QUENARDELLE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</si>
  <si>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</si>
  <si>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14°A - 356</t>
    </r>
  </si>
  <si>
    <r>
      <rPr>
        <rFont val="Calibri"/>
        <b/>
        <color theme="1"/>
        <sz val="9.0"/>
      </rPr>
      <t>VELAYOS CELINA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</si>
  <si>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</si>
  <si>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14°A - 360</t>
    </r>
  </si>
  <si>
    <r>
      <rPr>
        <rFont val="Calibri"/>
        <b/>
        <color theme="1"/>
        <sz val="9.0"/>
      </rPr>
      <t>STEVEN PUTZ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</si>
  <si>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</si>
  <si>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TOTALES</t>
    </r>
  </si>
  <si>
    <t>Total de ingresos en cuentas/extracto</t>
  </si>
  <si>
    <r>
      <rPr>
        <rFont val="Calibri"/>
        <b/>
        <color theme="1"/>
        <sz val="10.0"/>
      </rPr>
      <t>Estado de propietarios morosos</t>
    </r>
  </si>
  <si>
    <t>Dif</t>
  </si>
  <si>
    <t>El pago no identificado se corresponde con ese monto</t>
  </si>
  <si>
    <r>
      <rPr>
        <rFont val="Calibri"/>
        <b/>
        <color theme="1"/>
        <sz val="8.0"/>
      </rPr>
      <t>UF</t>
    </r>
  </si>
  <si>
    <r>
      <rPr>
        <rFont val="Calibri"/>
        <b/>
        <color theme="1"/>
        <sz val="8.0"/>
      </rPr>
      <t>DEPTO</t>
    </r>
  </si>
  <si>
    <r>
      <rPr>
        <rFont val="Calibri"/>
        <b/>
        <color theme="1"/>
        <sz val="8.0"/>
      </rPr>
      <t>CONSORCISTA</t>
    </r>
  </si>
  <si>
    <r>
      <rPr>
        <rFont val="Calibri"/>
        <b/>
        <color theme="1"/>
        <sz val="8.0"/>
      </rPr>
      <t>DEUDA</t>
    </r>
  </si>
  <si>
    <r>
      <rPr>
        <rFont val="Calibri"/>
        <b/>
        <color theme="1"/>
        <sz val="8.0"/>
      </rPr>
      <t>2°A - 356</t>
    </r>
  </si>
  <si>
    <r>
      <rPr>
        <rFont val="Calibri"/>
        <b/>
        <color theme="1"/>
        <sz val="8.0"/>
      </rPr>
      <t>MALDAJAN</t>
    </r>
  </si>
  <si>
    <r>
      <rPr>
        <rFont val="Calibri"/>
        <b/>
        <color theme="1"/>
        <sz val="8.0"/>
      </rPr>
      <t>4°A - 356</t>
    </r>
  </si>
  <si>
    <r>
      <rPr>
        <rFont val="Calibri"/>
        <b/>
        <color theme="1"/>
        <sz val="8.0"/>
      </rPr>
      <t>RIONEGRO CARLOS ALBERTO</t>
    </r>
  </si>
  <si>
    <r>
      <rPr>
        <rFont val="Calibri"/>
        <b/>
        <color theme="1"/>
        <sz val="8.0"/>
      </rPr>
      <t>4°B - 356</t>
    </r>
  </si>
  <si>
    <r>
      <rPr>
        <rFont val="Calibri"/>
        <b/>
        <color theme="1"/>
        <sz val="8.0"/>
      </rPr>
      <t>FRANCO</t>
    </r>
  </si>
  <si>
    <r>
      <rPr>
        <rFont val="Calibri"/>
        <b/>
        <color theme="1"/>
        <sz val="8.0"/>
      </rPr>
      <t>6°A - 360</t>
    </r>
  </si>
  <si>
    <r>
      <rPr>
        <rFont val="Calibri"/>
        <b/>
        <color theme="1"/>
        <sz val="8.0"/>
      </rPr>
      <t>IGLESIAS</t>
    </r>
  </si>
  <si>
    <r>
      <rPr>
        <rFont val="Calibri"/>
        <b/>
        <color theme="1"/>
        <sz val="8.0"/>
      </rPr>
      <t>7°A - 360</t>
    </r>
  </si>
  <si>
    <r>
      <rPr>
        <rFont val="Calibri"/>
        <b/>
        <color theme="1"/>
        <sz val="8.0"/>
      </rPr>
      <t>BAL MARICEL</t>
    </r>
  </si>
  <si>
    <r>
      <rPr>
        <rFont val="Calibri"/>
        <b/>
        <color theme="1"/>
        <sz val="8.0"/>
      </rPr>
      <t>7°C - 360</t>
    </r>
  </si>
  <si>
    <r>
      <rPr>
        <rFont val="Calibri"/>
        <b/>
        <color theme="1"/>
        <sz val="8.0"/>
      </rPr>
      <t>CASTRO</t>
    </r>
  </si>
  <si>
    <r>
      <rPr>
        <rFont val="Calibri"/>
        <b/>
        <color theme="1"/>
        <sz val="8.0"/>
      </rPr>
      <t>8°C - 360</t>
    </r>
  </si>
  <si>
    <r>
      <rPr>
        <rFont val="Calibri"/>
        <b/>
        <color theme="1"/>
        <sz val="8.0"/>
      </rPr>
      <t>CICCONE-ROSSI</t>
    </r>
  </si>
  <si>
    <r>
      <rPr>
        <rFont val="Calibri"/>
        <b/>
        <color theme="1"/>
        <sz val="8.0"/>
      </rPr>
      <t>10°B - 356</t>
    </r>
  </si>
  <si>
    <r>
      <rPr>
        <rFont val="Calibri"/>
        <b/>
        <color theme="1"/>
        <sz val="8.0"/>
      </rPr>
      <t>PRIMAVERA</t>
    </r>
  </si>
  <si>
    <r>
      <rPr>
        <rFont val="Calibri"/>
        <b/>
        <color theme="1"/>
        <sz val="8.0"/>
      </rPr>
      <t>11°B - 360</t>
    </r>
  </si>
  <si>
    <r>
      <rPr>
        <rFont val="Calibri"/>
        <b/>
        <color theme="1"/>
        <sz val="8.0"/>
      </rPr>
      <t>VILLAR</t>
    </r>
  </si>
  <si>
    <r>
      <rPr>
        <rFont val="Calibri"/>
        <b/>
        <color theme="1"/>
        <sz val="8.0"/>
      </rPr>
      <t>TOTAL</t>
    </r>
  </si>
  <si>
    <r>
      <rPr>
        <rFont val="Calibri"/>
        <b/>
        <color theme="1"/>
        <sz val="7.0"/>
      </rPr>
      <t>GASTOS ORDINARIOS DEL PERÍODO (SUMINISTROS, SERVICIOS, ABONOS Y SEGUROS)</t>
    </r>
  </si>
  <si>
    <r>
      <rPr>
        <rFont val="Calibri"/>
        <b/>
        <color rgb="FF404040"/>
        <sz val="7.0"/>
      </rPr>
      <t>REMUNERACIONES DEL PERSONAL</t>
    </r>
  </si>
  <si>
    <r>
      <rPr>
        <rFont val="Calibri"/>
        <b/>
        <color rgb="FF404040"/>
        <sz val="7.0"/>
      </rPr>
      <t>GASTOS COMUNES</t>
    </r>
  </si>
  <si>
    <r>
      <rPr>
        <rFont val="Calibri"/>
        <b/>
        <color rgb="FF404040"/>
        <sz val="7.0"/>
      </rPr>
      <t xml:space="preserve">% DEL GASTO
</t>
    </r>
    <r>
      <rPr>
        <rFont val="Calibri"/>
        <b/>
        <color rgb="FF404040"/>
        <sz val="7.0"/>
      </rPr>
      <t>TOTAL</t>
    </r>
  </si>
  <si>
    <t>Fecha de Pago</t>
  </si>
  <si>
    <t>Importe</t>
  </si>
  <si>
    <r>
      <rPr>
        <rFont val="Calibri"/>
        <color theme="1"/>
        <sz val="7.0"/>
      </rPr>
      <t>BUSTAMANTE JUAN MANUEL - ENCARGADO PERMANTENTE SIN VIVIENDA 4ta CATEGORIA.</t>
    </r>
  </si>
  <si>
    <r>
      <rPr>
        <rFont val="Calibri"/>
        <color theme="1"/>
        <sz val="7.0"/>
      </rPr>
      <t>CUIL: 20-13606437-2  - MES LIQUIDADO: NOVIEMBRE 2025</t>
    </r>
  </si>
  <si>
    <r>
      <rPr>
        <rFont val="Calibri"/>
        <color theme="1"/>
        <sz val="7.0"/>
      </rPr>
      <t>SUELDO/ JORNAL</t>
    </r>
  </si>
  <si>
    <r>
      <rPr>
        <rFont val="Calibri"/>
        <color theme="1"/>
        <sz val="7.0"/>
      </rPr>
      <t>ANTIGÜEDAD</t>
    </r>
  </si>
  <si>
    <r>
      <rPr>
        <rFont val="Calibri"/>
        <color theme="1"/>
        <sz val="7.0"/>
      </rPr>
      <t>ADICIONAL OCTUBRE 2025</t>
    </r>
  </si>
  <si>
    <r>
      <rPr>
        <rFont val="Calibri"/>
        <color theme="1"/>
        <sz val="7.0"/>
      </rPr>
      <t>FERIADO</t>
    </r>
  </si>
  <si>
    <r>
      <rPr>
        <rFont val="Calibri"/>
        <color theme="1"/>
        <sz val="7.0"/>
      </rPr>
      <t>RETIRO DE RESIDUOS</t>
    </r>
  </si>
  <si>
    <r>
      <rPr>
        <rFont val="Calibri"/>
        <color theme="1"/>
        <sz val="7.0"/>
      </rPr>
      <t>PLUS LIMPIEZA COCHERA</t>
    </r>
  </si>
  <si>
    <r>
      <rPr>
        <rFont val="Calibri"/>
        <color theme="1"/>
        <sz val="7.0"/>
      </rPr>
      <t>PLUS JARDIN</t>
    </r>
  </si>
  <si>
    <r>
      <rPr>
        <rFont val="Calibri"/>
        <color theme="1"/>
        <sz val="7.0"/>
      </rPr>
      <t>VIATICOS (SEPT Y OCT)</t>
    </r>
  </si>
  <si>
    <r>
      <rPr>
        <rFont val="Calibri"/>
        <color theme="1"/>
        <sz val="7.0"/>
      </rPr>
      <t>JUBILACION 11%</t>
    </r>
  </si>
  <si>
    <r>
      <rPr>
        <rFont val="Calibri"/>
        <color theme="1"/>
        <sz val="7.0"/>
      </rPr>
      <t>INSSJP 3%</t>
    </r>
  </si>
  <si>
    <r>
      <rPr>
        <rFont val="Calibri"/>
        <color theme="1"/>
        <sz val="7.0"/>
      </rPr>
      <t>OBRA SOCIAL  3 %</t>
    </r>
  </si>
  <si>
    <r>
      <rPr>
        <rFont val="Calibri"/>
        <color theme="1"/>
        <sz val="7.0"/>
      </rPr>
      <t>FATERYH 1 %</t>
    </r>
  </si>
  <si>
    <r>
      <rPr>
        <rFont val="Calibri"/>
        <color theme="1"/>
        <sz val="7.0"/>
      </rPr>
      <t>FONDO PROTECCION FAMILIAR</t>
    </r>
  </si>
  <si>
    <r>
      <rPr>
        <rFont val="Calibri"/>
        <color theme="1"/>
        <sz val="7.0"/>
      </rPr>
      <t>CUOTA SINDICAL 2 %</t>
    </r>
  </si>
  <si>
    <r>
      <rPr>
        <rFont val="Calibri"/>
        <color theme="1"/>
        <sz val="7.0"/>
      </rPr>
      <t>FATERYH ART 27BIS 0,75%</t>
    </r>
  </si>
  <si>
    <r>
      <rPr>
        <rFont val="Calibri"/>
        <color theme="1"/>
        <sz val="7.0"/>
      </rPr>
      <t>TOTALES</t>
    </r>
  </si>
  <si>
    <t>RECIBO 1054814</t>
  </si>
  <si>
    <r>
      <rPr>
        <rFont val="Calibri"/>
        <color theme="1"/>
        <sz val="7.0"/>
      </rPr>
      <t>BUSTAMANTE VICTOR JAVIER - ENCARGADO NO PERMANTENTE SIN VIVIENDA 4ta CATEGORIA.</t>
    </r>
  </si>
  <si>
    <r>
      <rPr>
        <rFont val="Calibri"/>
        <color theme="1"/>
        <sz val="7.0"/>
      </rPr>
      <t>CUIL: 20-27737820-6  - MES LIQUIDADO: NOVIEMBRE 2025</t>
    </r>
  </si>
  <si>
    <r>
      <rPr>
        <rFont val="Calibri"/>
        <color theme="1"/>
        <sz val="7.0"/>
      </rPr>
      <t>SUELDO/ JORNAL</t>
    </r>
  </si>
  <si>
    <r>
      <rPr>
        <rFont val="Calibri"/>
        <color theme="1"/>
        <sz val="7.0"/>
      </rPr>
      <t>ANTIGÜEDAD</t>
    </r>
  </si>
  <si>
    <r>
      <rPr>
        <rFont val="Calibri"/>
        <color theme="1"/>
        <sz val="7.0"/>
      </rPr>
      <t>ADICIONAL OCTUBRE 2025</t>
    </r>
  </si>
  <si>
    <r>
      <rPr>
        <rFont val="Calibri"/>
        <color theme="1"/>
        <sz val="7.0"/>
      </rPr>
      <t>RETIRO DE RESIDUOS</t>
    </r>
  </si>
  <si>
    <r>
      <rPr>
        <rFont val="Calibri"/>
        <color theme="1"/>
        <sz val="7.0"/>
      </rPr>
      <t>PLUS LIMPIEZA COCHERA</t>
    </r>
  </si>
  <si>
    <r>
      <rPr>
        <rFont val="Calibri"/>
        <color theme="1"/>
        <sz val="7.0"/>
      </rPr>
      <t>PLUS JARDIN</t>
    </r>
  </si>
  <si>
    <r>
      <rPr>
        <rFont val="Calibri"/>
        <color theme="1"/>
        <sz val="7.0"/>
      </rPr>
      <t>FERIADO</t>
    </r>
  </si>
  <si>
    <r>
      <rPr>
        <rFont val="Calibri"/>
        <color theme="1"/>
        <sz val="7.0"/>
      </rPr>
      <t>VIATICOS (SEPT Y OCT)</t>
    </r>
  </si>
  <si>
    <r>
      <rPr>
        <rFont val="Calibri"/>
        <color theme="1"/>
        <sz val="7.0"/>
      </rPr>
      <t>JUBILACION 11%</t>
    </r>
  </si>
  <si>
    <r>
      <rPr>
        <rFont val="Calibri"/>
        <color theme="1"/>
        <sz val="7.0"/>
      </rPr>
      <t>INSSJP 3%</t>
    </r>
  </si>
  <si>
    <r>
      <rPr>
        <rFont val="Calibri"/>
        <color theme="1"/>
        <sz val="7.0"/>
      </rPr>
      <t>OBRA SOCIAL  3 %</t>
    </r>
  </si>
  <si>
    <r>
      <rPr>
        <rFont val="Calibri"/>
        <color theme="1"/>
        <sz val="7.0"/>
      </rPr>
      <t>FATERYH 1 %</t>
    </r>
  </si>
  <si>
    <r>
      <rPr>
        <rFont val="Calibri"/>
        <color theme="1"/>
        <sz val="7.0"/>
      </rPr>
      <t>FONDO PROTECCION FAMILIAR</t>
    </r>
  </si>
  <si>
    <r>
      <rPr>
        <rFont val="Calibri"/>
        <color theme="1"/>
        <sz val="7.0"/>
      </rPr>
      <t>CUOTA SINDICAL 2 %</t>
    </r>
  </si>
  <si>
    <r>
      <rPr>
        <rFont val="Calibri"/>
        <color theme="1"/>
        <sz val="7.0"/>
      </rPr>
      <t>FATERYH ART 27BIS 0,75%</t>
    </r>
  </si>
  <si>
    <r>
      <rPr>
        <rFont val="Calibri"/>
        <color theme="1"/>
        <sz val="7.0"/>
      </rPr>
      <t>TOTALES</t>
    </r>
  </si>
  <si>
    <t>RECIBO 662492</t>
  </si>
  <si>
    <r>
      <rPr>
        <rFont val="Calibri"/>
        <color theme="1"/>
        <sz val="7.0"/>
      </rPr>
      <t>RAMIREZ GUILLERMO ALBERTO - PERSONAL VIGILANCIA NOCTURNA</t>
    </r>
  </si>
  <si>
    <r>
      <rPr>
        <rFont val="Calibri"/>
        <color theme="1"/>
        <sz val="7.0"/>
      </rPr>
      <t>CUIL: 20-2014502487-1  - MES LIQUIDADO: NOVIEMBRE 2025</t>
    </r>
  </si>
  <si>
    <r>
      <rPr>
        <rFont val="Calibri"/>
        <color theme="1"/>
        <sz val="7.0"/>
      </rPr>
      <t>SUELDO/ JORNAL</t>
    </r>
  </si>
  <si>
    <r>
      <rPr>
        <rFont val="Calibri"/>
        <color theme="1"/>
        <sz val="7.0"/>
      </rPr>
      <t>ANTIGÜEDAD</t>
    </r>
  </si>
  <si>
    <r>
      <rPr>
        <rFont val="Calibri"/>
        <color theme="1"/>
        <sz val="7.0"/>
      </rPr>
      <t>ADICIONAL  OCTUBRE 2025</t>
    </r>
  </si>
  <si>
    <r>
      <rPr>
        <rFont val="Calibri"/>
        <color theme="1"/>
        <sz val="7.0"/>
      </rPr>
      <t>FERIADO</t>
    </r>
  </si>
  <si>
    <r>
      <rPr>
        <rFont val="Calibri"/>
        <color theme="1"/>
        <sz val="7.0"/>
      </rPr>
      <t>DIA DEL GREMIO</t>
    </r>
  </si>
  <si>
    <r>
      <rPr>
        <rFont val="Calibri"/>
        <color theme="1"/>
        <sz val="7.0"/>
      </rPr>
      <t>VIATICOS (SEPT Y OCT)</t>
    </r>
  </si>
  <si>
    <r>
      <rPr>
        <rFont val="Calibri"/>
        <color theme="1"/>
        <sz val="7.0"/>
      </rPr>
      <t>JUBILACION 11%</t>
    </r>
  </si>
  <si>
    <r>
      <rPr>
        <rFont val="Calibri"/>
        <color theme="1"/>
        <sz val="7.0"/>
      </rPr>
      <t>INSSJP 3%</t>
    </r>
  </si>
  <si>
    <r>
      <rPr>
        <rFont val="Calibri"/>
        <color theme="1"/>
        <sz val="7.0"/>
      </rPr>
      <t>OBRA SOCIAL  3 %</t>
    </r>
  </si>
  <si>
    <r>
      <rPr>
        <rFont val="Calibri"/>
        <color theme="1"/>
        <sz val="7.0"/>
      </rPr>
      <t>FATERYH 1 %</t>
    </r>
  </si>
  <si>
    <r>
      <rPr>
        <rFont val="Calibri"/>
        <color theme="1"/>
        <sz val="7.0"/>
      </rPr>
      <t>FONDO PROTECCION FAMILIAR</t>
    </r>
  </si>
  <si>
    <r>
      <rPr>
        <rFont val="Calibri"/>
        <color theme="1"/>
        <sz val="7.0"/>
      </rPr>
      <t>CUOTA SINDICAL 2 %</t>
    </r>
  </si>
  <si>
    <r>
      <rPr>
        <rFont val="Calibri"/>
        <color theme="1"/>
        <sz val="7.0"/>
      </rPr>
      <t>FATERYH ART 27BIS 0,75%</t>
    </r>
  </si>
  <si>
    <r>
      <rPr>
        <rFont val="Calibri"/>
        <color theme="1"/>
        <sz val="7.0"/>
      </rPr>
      <t>TOTALES</t>
    </r>
  </si>
  <si>
    <t>RECIBO 687551</t>
  </si>
  <si>
    <r>
      <rPr>
        <rFont val="Calibri"/>
        <color theme="1"/>
        <sz val="7.0"/>
      </rPr>
      <t>PROVISION DE AGUINALDOS</t>
    </r>
  </si>
  <si>
    <r>
      <rPr>
        <rFont val="Calibri"/>
        <b/>
        <color theme="1"/>
        <sz val="7.0"/>
      </rPr>
      <t>Total rubro:</t>
    </r>
  </si>
  <si>
    <t>Proveedores</t>
  </si>
  <si>
    <r>
      <rPr>
        <rFont val="Calibri"/>
        <b/>
        <color rgb="FF404040"/>
        <sz val="7.0"/>
      </rPr>
      <t>CARGAS SOCIALES</t>
    </r>
  </si>
  <si>
    <r>
      <rPr>
        <rFont val="Calibri"/>
        <b/>
        <color rgb="FF404040"/>
        <sz val="7.0"/>
      </rPr>
      <t>GASTOS COMUNES</t>
    </r>
  </si>
  <si>
    <r>
      <rPr>
        <rFont val="Calibri"/>
        <color theme="1"/>
        <sz val="7.0"/>
      </rPr>
      <t>CARGAS SOCIALES</t>
    </r>
  </si>
  <si>
    <r>
      <rPr>
        <rFont val="Calibri"/>
        <color theme="1"/>
        <sz val="7.0"/>
      </rPr>
      <t>NOVIEMBRE 2025</t>
    </r>
  </si>
  <si>
    <r>
      <rPr>
        <rFont val="Calibri"/>
        <b/>
        <color theme="1"/>
        <sz val="7.0"/>
      </rPr>
      <t>Total rubro:</t>
    </r>
  </si>
  <si>
    <r>
      <rPr>
        <rFont val="Calibri"/>
        <b/>
        <color rgb="FF404040"/>
        <sz val="8.0"/>
      </rPr>
      <t>APORTES SINDICALES</t>
    </r>
  </si>
  <si>
    <r>
      <rPr>
        <rFont val="Calibri"/>
        <b/>
        <color rgb="FF404040"/>
        <sz val="8.0"/>
      </rPr>
      <t>GASTOS COMUNES</t>
    </r>
  </si>
  <si>
    <r>
      <rPr>
        <rFont val="Calibri"/>
        <color theme="1"/>
        <sz val="8.0"/>
      </rPr>
      <t>CUOTA SINDICAL</t>
    </r>
  </si>
  <si>
    <r>
      <rPr>
        <rFont val="Calibri"/>
        <color theme="1"/>
        <sz val="8.0"/>
      </rPr>
      <t>NOVIEMBRE 2025</t>
    </r>
  </si>
  <si>
    <t>CON BOLETAS</t>
  </si>
  <si>
    <t>ver desglose</t>
  </si>
  <si>
    <r>
      <rPr>
        <rFont val="Calibri"/>
        <b/>
        <color theme="1"/>
        <sz val="8.0"/>
      </rPr>
      <t>Total rubro:</t>
    </r>
  </si>
  <si>
    <r>
      <rPr>
        <rFont val="Calibri"/>
        <b/>
        <color rgb="FF404040"/>
        <sz val="8.0"/>
      </rPr>
      <t>SERVICIOS PÚBLICOS Y ABONOS</t>
    </r>
  </si>
  <si>
    <r>
      <rPr>
        <rFont val="Calibri"/>
        <b/>
        <color rgb="FF404040"/>
        <sz val="8.0"/>
      </rPr>
      <t>GASTOS COMUNES</t>
    </r>
  </si>
  <si>
    <r>
      <rPr>
        <rFont val="Calibri"/>
        <color theme="1"/>
        <sz val="8.0"/>
      </rPr>
      <t>AYSA Cliente N°192498</t>
    </r>
  </si>
  <si>
    <r>
      <rPr>
        <rFont val="Calibri"/>
        <color theme="1"/>
        <sz val="8.0"/>
      </rPr>
      <t>NOVIEMBRE 2025</t>
    </r>
  </si>
  <si>
    <t>CON FACT.</t>
  </si>
  <si>
    <r>
      <rPr>
        <rFont val="Calibri"/>
        <color theme="1"/>
        <sz val="8.0"/>
      </rPr>
      <t>AYSA Cliente N°192499</t>
    </r>
  </si>
  <si>
    <r>
      <rPr>
        <rFont val="Calibri"/>
        <color theme="1"/>
        <sz val="8.0"/>
      </rPr>
      <t>NOVIEMBRE 2025</t>
    </r>
  </si>
  <si>
    <r>
      <rPr>
        <rFont val="Calibri"/>
        <color theme="1"/>
        <sz val="8.0"/>
      </rPr>
      <t>AYSA Cliente N°192500</t>
    </r>
  </si>
  <si>
    <r>
      <rPr>
        <rFont val="Calibri"/>
        <color theme="1"/>
        <sz val="8.0"/>
      </rPr>
      <t>NOVIEMBRE 2025</t>
    </r>
  </si>
  <si>
    <r>
      <rPr>
        <rFont val="Calibri"/>
        <color theme="1"/>
        <sz val="8.0"/>
      </rPr>
      <t>EDESUR Cliente N°05637256</t>
    </r>
  </si>
  <si>
    <r>
      <rPr>
        <rFont val="Calibri"/>
        <color theme="1"/>
        <sz val="8.0"/>
      </rPr>
      <t>NOVIEMBRE 2025</t>
    </r>
  </si>
  <si>
    <r>
      <rPr>
        <rFont val="Calibri"/>
        <color theme="1"/>
        <sz val="8.0"/>
      </rPr>
      <t>CABLEVISION FLOW</t>
    </r>
  </si>
  <si>
    <r>
      <rPr>
        <rFont val="Calibri"/>
        <color theme="1"/>
        <sz val="8.0"/>
      </rPr>
      <t>NOVIEMBRE 2025</t>
    </r>
  </si>
  <si>
    <r>
      <rPr>
        <rFont val="Calibri"/>
        <b/>
        <color theme="1"/>
        <sz val="8.0"/>
      </rPr>
      <t>Total rubro:</t>
    </r>
  </si>
  <si>
    <r>
      <rPr>
        <rFont val="Calibri"/>
        <b/>
        <color rgb="FF404040"/>
        <sz val="8.0"/>
      </rPr>
      <t>MANTENIMIENTO PARTES COMUNES</t>
    </r>
  </si>
  <si>
    <r>
      <rPr>
        <rFont val="Calibri"/>
        <b/>
        <color rgb="FF404040"/>
        <sz val="8.0"/>
      </rPr>
      <t>GASTOS A</t>
    </r>
  </si>
  <si>
    <r>
      <rPr>
        <rFont val="Calibri"/>
        <b/>
        <color rgb="FF404040"/>
        <sz val="8.0"/>
      </rPr>
      <t>GASTO EVENTUAL</t>
    </r>
  </si>
  <si>
    <r>
      <rPr>
        <rFont val="Calibri"/>
        <b/>
        <color rgb="FF404040"/>
        <sz val="8.0"/>
      </rPr>
      <t>GASTOS EXTRAORDINARIOS</t>
    </r>
  </si>
  <si>
    <r>
      <rPr>
        <rFont val="Calibri"/>
        <color theme="1"/>
        <sz val="8.0"/>
      </rPr>
      <t>PAVON RIVEROS LUIS</t>
    </r>
  </si>
  <si>
    <r>
      <rPr>
        <rFont val="Calibri"/>
        <color rgb="FF000000"/>
        <sz val="8.0"/>
      </rPr>
      <t xml:space="preserve">Factura nro 00003-0161, reparacion cielo raso de cocina, mano de
</t>
    </r>
    <r>
      <rPr>
        <rFont val="Calibri"/>
        <color rgb="FF000000"/>
        <sz val="8.0"/>
      </rPr>
      <t>obra y materiales. 1 B 360</t>
    </r>
  </si>
  <si>
    <r>
      <rPr>
        <rFont val="Calibri"/>
        <color theme="1"/>
        <sz val="8.0"/>
      </rPr>
      <t>ASCENSORES GUILLEMI</t>
    </r>
  </si>
  <si>
    <t>Diferencia de factura de octubre</t>
  </si>
  <si>
    <r>
      <rPr>
        <rFont val="Calibri"/>
        <color theme="1"/>
        <sz val="8.0"/>
      </rPr>
      <t>ASCENSORES GUILLEMI</t>
    </r>
  </si>
  <si>
    <r>
      <rPr>
        <rFont val="Calibri"/>
        <color theme="1"/>
        <sz val="8.0"/>
      </rPr>
      <t>Mantenimiento ascensores factura nro 00002-23818</t>
    </r>
  </si>
  <si>
    <r>
      <rPr>
        <rFont val="Calibri"/>
        <color theme="1"/>
        <sz val="8.0"/>
      </rPr>
      <t>ASCENSORES GUILLEMI</t>
    </r>
  </si>
  <si>
    <r>
      <rPr>
        <rFont val="Calibri"/>
        <color theme="1"/>
        <sz val="8.0"/>
      </rPr>
      <t>Factura nro 0002-23707 colocacion de frecuencia edificio 356</t>
    </r>
  </si>
  <si>
    <r>
      <rPr>
        <rFont val="Calibri"/>
        <color theme="1"/>
        <sz val="8.0"/>
      </rPr>
      <t>HJC 221 CONSTRUCCIONES</t>
    </r>
  </si>
  <si>
    <r>
      <rPr>
        <rFont val="Calibri"/>
        <color theme="1"/>
        <sz val="8.0"/>
      </rPr>
      <t>CUOTA 2 DE 2 ( 25% DEL VALOR TOTAL) POR ARREGLO COCHERA SUBSUELO (VALOR TOTAL: $5.104.400)</t>
    </r>
  </si>
  <si>
    <t>CON RECIBI POR 1276000</t>
  </si>
  <si>
    <r>
      <rPr>
        <rFont val="Calibri"/>
        <color theme="1"/>
        <sz val="8.0"/>
      </rPr>
      <t>CLEANING SERVICE</t>
    </r>
  </si>
  <si>
    <t>Productos de limpieza, bolsas, concentrado, trapo de piso</t>
  </si>
  <si>
    <t>CON COMP NO VALIDO COMO FACTURA</t>
  </si>
  <si>
    <t>Emanuel Elia</t>
  </si>
  <si>
    <r>
      <rPr>
        <rFont val="Calibri"/>
        <color theme="1"/>
        <sz val="8.0"/>
      </rPr>
      <t>IVESS FORGIONE</t>
    </r>
  </si>
  <si>
    <r>
      <rPr>
        <rFont val="Calibri"/>
        <color theme="1"/>
        <sz val="8.0"/>
      </rPr>
      <t>Cmpra de botellon de agua factura 0003-12340 octubre</t>
    </r>
  </si>
  <si>
    <r>
      <rPr>
        <rFont val="Calibri"/>
        <color theme="1"/>
        <sz val="8.0"/>
      </rPr>
      <t>IVESS FORGIONE</t>
    </r>
  </si>
  <si>
    <r>
      <rPr>
        <rFont val="Calibri"/>
        <color theme="1"/>
        <sz val="8.0"/>
      </rPr>
      <t>Compra de botellon agua , fatura 0003-12385</t>
    </r>
  </si>
  <si>
    <r>
      <rPr>
        <rFont val="Calibri"/>
        <color theme="1"/>
        <sz val="8.0"/>
      </rPr>
      <t>LECOS SERVICIOS</t>
    </r>
  </si>
  <si>
    <r>
      <rPr>
        <rFont val="Calibri"/>
        <color theme="1"/>
        <sz val="8.0"/>
      </rPr>
      <t>Factura nro 00004-0390 compra de lamparas</t>
    </r>
  </si>
  <si>
    <r>
      <rPr>
        <rFont val="Calibri"/>
        <color theme="1"/>
        <sz val="8.0"/>
      </rPr>
      <t>MARCELO RODRIGUEZ</t>
    </r>
  </si>
  <si>
    <r>
      <rPr>
        <rFont val="Calibri"/>
        <color theme="1"/>
        <sz val="8.0"/>
      </rPr>
      <t>Cambio de pileta de patio en cochera</t>
    </r>
  </si>
  <si>
    <r>
      <rPr>
        <rFont val="Calibri"/>
        <color theme="1"/>
        <sz val="8.0"/>
      </rPr>
      <t>LECOS SERVICIOS</t>
    </r>
  </si>
  <si>
    <r>
      <rPr>
        <rFont val="Calibri"/>
        <color theme="1"/>
        <sz val="8.0"/>
      </rPr>
      <t>Factura nro 00004-0384 armado de tapas cubre toma agua bomberos</t>
    </r>
  </si>
  <si>
    <r>
      <rPr>
        <rFont val="Calibri"/>
        <b/>
        <color theme="1"/>
        <sz val="8.0"/>
      </rPr>
      <t>Total rubro:</t>
    </r>
  </si>
  <si>
    <r>
      <rPr>
        <rFont val="Calibri"/>
        <b/>
        <color rgb="FF404040"/>
        <sz val="8.0"/>
      </rPr>
      <t>GASTOS BANCARIOS</t>
    </r>
  </si>
  <si>
    <r>
      <rPr>
        <rFont val="Calibri"/>
        <b/>
        <color rgb="FF404040"/>
        <sz val="8.0"/>
      </rPr>
      <t>GASTOS A</t>
    </r>
  </si>
  <si>
    <r>
      <rPr>
        <rFont val="Calibri"/>
        <color theme="1"/>
        <sz val="8.0"/>
      </rPr>
      <t>COMISION DE MANTENIMIENTO,  IVA, IIBB</t>
    </r>
  </si>
  <si>
    <t>SEGUN EXTRACTO</t>
  </si>
  <si>
    <t>Ver desglose</t>
  </si>
  <si>
    <r>
      <rPr>
        <rFont val="Calibri"/>
        <color theme="1"/>
        <sz val="8.0"/>
      </rPr>
      <t>LEY 25413</t>
    </r>
  </si>
  <si>
    <r>
      <rPr>
        <rFont val="Calibri"/>
        <b/>
        <color theme="1"/>
        <sz val="8.0"/>
      </rPr>
      <t>Total rubro:</t>
    </r>
  </si>
  <si>
    <r>
      <rPr>
        <rFont val="Calibri"/>
        <b/>
        <color rgb="FF404040"/>
        <sz val="8.0"/>
      </rPr>
      <t>SEGUROS ORDINARIOS</t>
    </r>
  </si>
  <si>
    <r>
      <rPr>
        <rFont val="Calibri"/>
        <b/>
        <color rgb="FF404040"/>
        <sz val="8.0"/>
      </rPr>
      <t>GASTOS A</t>
    </r>
  </si>
  <si>
    <r>
      <rPr>
        <rFont val="Calibri"/>
        <color theme="1"/>
        <sz val="8.0"/>
      </rPr>
      <t>HOLANDO POLIZA N°2000004.5</t>
    </r>
  </si>
  <si>
    <r>
      <rPr>
        <rFont val="Calibri"/>
        <color theme="1"/>
        <sz val="8.0"/>
      </rPr>
      <t>SEGURO INTEGRAL DEL CONSORCIO</t>
    </r>
  </si>
  <si>
    <r>
      <rPr>
        <rFont val="Calibri"/>
        <color theme="1"/>
        <sz val="8.0"/>
      </rPr>
      <t>ALLIANZ GRAL POLIZA</t>
    </r>
  </si>
  <si>
    <r>
      <rPr>
        <rFont val="Calibri"/>
        <color theme="1"/>
        <sz val="8.0"/>
      </rPr>
      <t>SEGURO PERSONAL</t>
    </r>
  </si>
  <si>
    <r>
      <rPr>
        <rFont val="Calibri"/>
        <b/>
        <color theme="1"/>
        <sz val="8.0"/>
      </rPr>
      <t>Total rubro:</t>
    </r>
  </si>
  <si>
    <r>
      <rPr>
        <rFont val="Calibri"/>
        <b/>
        <color rgb="FF404040"/>
        <sz val="8.0"/>
      </rPr>
      <t>SEGURIDAD</t>
    </r>
  </si>
  <si>
    <r>
      <rPr>
        <rFont val="Calibri"/>
        <b/>
        <color rgb="FF404040"/>
        <sz val="8.0"/>
      </rPr>
      <t>GASTOS SEGURIDAD</t>
    </r>
  </si>
  <si>
    <r>
      <rPr>
        <rFont val="Calibri"/>
        <b/>
        <color rgb="FF404040"/>
        <sz val="8.0"/>
      </rPr>
      <t>GASTOS B</t>
    </r>
  </si>
  <si>
    <r>
      <rPr>
        <rFont val="Calibri"/>
        <color theme="1"/>
        <sz val="8.0"/>
      </rPr>
      <t>MM SERVICIOS DE SEGURIDAD</t>
    </r>
  </si>
  <si>
    <r>
      <rPr>
        <rFont val="Calibri"/>
        <color theme="1"/>
        <sz val="8.0"/>
      </rPr>
      <t>SEGURIDAD NOVIEMBRE 2025 FACTURA N° 00002-0044</t>
    </r>
  </si>
  <si>
    <t>Melina Giselle Perez</t>
  </si>
  <si>
    <r>
      <rPr>
        <rFont val="Calibri"/>
        <b/>
        <color theme="1"/>
        <sz val="8.0"/>
      </rPr>
      <t>Total rubro:</t>
    </r>
  </si>
  <si>
    <r>
      <rPr>
        <rFont val="Calibri"/>
        <b/>
        <color rgb="FF404040"/>
        <sz val="8.0"/>
      </rPr>
      <t>JARDINERIA</t>
    </r>
  </si>
  <si>
    <r>
      <rPr>
        <rFont val="Calibri"/>
        <b/>
        <color rgb="FF404040"/>
        <sz val="8.0"/>
      </rPr>
      <t>GASTOS A</t>
    </r>
  </si>
  <si>
    <r>
      <rPr>
        <rFont val="Calibri"/>
        <b/>
        <color rgb="FF404040"/>
        <sz val="8.0"/>
      </rPr>
      <t>GASTOS B</t>
    </r>
  </si>
  <si>
    <r>
      <rPr>
        <rFont val="Calibri"/>
        <b/>
        <color rgb="FF404040"/>
        <sz val="8.0"/>
      </rPr>
      <t>GASTOS PARTICULARES</t>
    </r>
  </si>
  <si>
    <r>
      <rPr>
        <rFont val="Calibri"/>
        <color theme="1"/>
        <sz val="8.0"/>
      </rPr>
      <t>FB SANEAMIENTO AMBIENTAL</t>
    </r>
  </si>
  <si>
    <r>
      <rPr>
        <rFont val="Calibri"/>
        <color theme="1"/>
        <sz val="8.0"/>
      </rPr>
      <t>Factura 0001-1751</t>
    </r>
  </si>
  <si>
    <r>
      <rPr>
        <rFont val="Calibri"/>
        <color theme="1"/>
        <sz val="8.0"/>
      </rPr>
      <t>DESTAPACIONES ITALOAMERICANA</t>
    </r>
  </si>
  <si>
    <r>
      <rPr>
        <rFont val="Calibri"/>
        <color theme="1"/>
        <sz val="8.0"/>
      </rPr>
      <t>Factura nro 00002-1490</t>
    </r>
  </si>
  <si>
    <t>hay dos transferencias realizadas por el mismo importe</t>
  </si>
  <si>
    <r>
      <rPr>
        <rFont val="Calibri"/>
        <color theme="1"/>
        <sz val="8.0"/>
      </rPr>
      <t>Christian Ogaz</t>
    </r>
  </si>
  <si>
    <r>
      <rPr>
        <rFont val="Calibri"/>
        <color theme="1"/>
        <sz val="8.0"/>
      </rPr>
      <t>CORTE DE CESPED  01-11-2025</t>
    </r>
  </si>
  <si>
    <t>CON RECIBO</t>
  </si>
  <si>
    <r>
      <rPr>
        <rFont val="Calibri"/>
        <b/>
        <color theme="1"/>
        <sz val="8.0"/>
      </rPr>
      <t>Total rubro:</t>
    </r>
  </si>
  <si>
    <r>
      <rPr>
        <rFont val="Calibri"/>
        <b/>
        <color rgb="FF404040"/>
        <sz val="8.0"/>
      </rPr>
      <t>GASTOS DE ADMINISTRACION</t>
    </r>
  </si>
  <si>
    <r>
      <rPr>
        <rFont val="Calibri"/>
        <b/>
        <color rgb="FF404040"/>
        <sz val="8.0"/>
      </rPr>
      <t>GASTOS A</t>
    </r>
  </si>
  <si>
    <r>
      <rPr>
        <rFont val="Calibri"/>
        <b/>
        <color rgb="FF404040"/>
        <sz val="8.0"/>
      </rPr>
      <t>GASTOS B</t>
    </r>
  </si>
  <si>
    <r>
      <rPr>
        <rFont val="Calibri"/>
        <b/>
        <color rgb="FF404040"/>
        <sz val="8.0"/>
      </rPr>
      <t>GASTOS PARTICULARES</t>
    </r>
  </si>
  <si>
    <r>
      <rPr>
        <rFont val="Calibri"/>
        <color theme="1"/>
        <sz val="8.0"/>
      </rPr>
      <t>HON0RARIOS CONTADOR FACTURA N 00002-0827</t>
    </r>
  </si>
  <si>
    <r>
      <rPr>
        <rFont val="Calibri"/>
        <color theme="1"/>
        <sz val="8.0"/>
      </rPr>
      <t>FOTOCOPIAS DE EXPENSAS DEL MES DE OCTUBRE DE 2025</t>
    </r>
  </si>
  <si>
    <t>CON COMP.</t>
  </si>
  <si>
    <r>
      <rPr>
        <rFont val="Calibri"/>
        <b/>
        <color theme="1"/>
        <sz val="8.0"/>
      </rPr>
      <t>Total rubro:</t>
    </r>
  </si>
  <si>
    <r>
      <rPr>
        <rFont val="Calibri"/>
        <b/>
        <color rgb="FF404040"/>
        <sz val="8.0"/>
      </rPr>
      <t>HONORARIOS PROFESIONALES</t>
    </r>
  </si>
  <si>
    <r>
      <rPr>
        <rFont val="Calibri"/>
        <b/>
        <color rgb="FF404040"/>
        <sz val="8.0"/>
      </rPr>
      <t>GASTOS A</t>
    </r>
  </si>
  <si>
    <r>
      <rPr>
        <rFont val="Calibri"/>
        <color theme="1"/>
        <sz val="7.0"/>
      </rPr>
      <t>D&amp;F Administracion</t>
    </r>
  </si>
  <si>
    <r>
      <rPr>
        <rFont val="Calibri"/>
        <color theme="1"/>
        <sz val="8.0"/>
      </rPr>
      <t>NOVIEMBRE 2025</t>
    </r>
  </si>
  <si>
    <r>
      <rPr>
        <rFont val="Calibri"/>
        <b/>
        <color theme="1"/>
        <sz val="8.0"/>
      </rPr>
      <t>Total rubro:</t>
    </r>
  </si>
  <si>
    <r>
      <rPr>
        <rFont val="Calibri"/>
        <b/>
        <color theme="1"/>
        <sz val="8.0"/>
      </rPr>
      <t>SUBTOTALES X GASTOS</t>
    </r>
  </si>
  <si>
    <r>
      <rPr>
        <rFont val="Calibri"/>
        <b/>
        <color theme="1"/>
        <sz val="8.0"/>
      </rPr>
      <t>TOTAL GASTOS ORDINARIOS</t>
    </r>
  </si>
  <si>
    <r>
      <rPr>
        <rFont val="Calibri"/>
        <color rgb="FF3F3F3F"/>
        <sz val="9.0"/>
      </rPr>
      <t>COMPOSICIÓN DEESTADO FINANCIERO CUENTACOkRIENTE BANCO GAíICIA</t>
    </r>
  </si>
  <si>
    <r>
      <rPr>
        <rFont val="Calibri"/>
        <b/>
        <color theme="1"/>
        <sz val="9.0"/>
      </rPr>
      <t>SALDO ANTERIOR 31-10-2025</t>
    </r>
  </si>
  <si>
    <t>OK</t>
  </si>
  <si>
    <t>Segun Extracto</t>
  </si>
  <si>
    <r>
      <rPr>
        <rFont val="Calibri"/>
        <color theme="1"/>
        <sz val="9.0"/>
      </rPr>
      <t>INGRESOS DE EXPENSAS (Por Trasferencias)</t>
    </r>
  </si>
  <si>
    <r>
      <rPr>
        <rFont val="Calibri"/>
        <color theme="1"/>
        <sz val="9.0"/>
      </rPr>
      <t>ARCA</t>
    </r>
  </si>
  <si>
    <r>
      <rPr>
        <rFont val="Calibri"/>
        <color rgb="FFFF0000"/>
        <sz val="9.0"/>
      </rPr>
      <t>-$</t>
    </r>
  </si>
  <si>
    <t>Cargas sociales Octubre 2025</t>
  </si>
  <si>
    <r>
      <rPr>
        <rFont val="Calibri"/>
        <color theme="1"/>
        <sz val="9.0"/>
      </rPr>
      <t>CUOTA SINDICAL</t>
    </r>
  </si>
  <si>
    <r>
      <rPr>
        <rFont val="Calibri"/>
        <color rgb="FFFF0000"/>
        <sz val="9.0"/>
      </rPr>
      <t>-$</t>
    </r>
  </si>
  <si>
    <t>Cuota sindical Octubre 2025</t>
  </si>
  <si>
    <r>
      <rPr>
        <rFont val="Calibri"/>
        <color theme="1"/>
        <sz val="9.0"/>
      </rPr>
      <t>COMISION PAQUETE + IVA</t>
    </r>
  </si>
  <si>
    <r>
      <rPr>
        <rFont val="Calibri"/>
        <color rgb="FFFF0000"/>
        <sz val="9.0"/>
      </rPr>
      <t>-$</t>
    </r>
  </si>
  <si>
    <r>
      <rPr>
        <rFont val="Calibri"/>
        <color theme="1"/>
        <sz val="9.0"/>
      </rPr>
      <t>SEGUROS</t>
    </r>
  </si>
  <si>
    <r>
      <rPr>
        <rFont val="Calibri"/>
        <color rgb="FFFF0000"/>
        <sz val="9.0"/>
      </rPr>
      <t>-$</t>
    </r>
  </si>
  <si>
    <r>
      <rPr>
        <rFont val="Calibri"/>
        <color theme="1"/>
        <sz val="9.0"/>
      </rPr>
      <t>SERVICIOS</t>
    </r>
  </si>
  <si>
    <r>
      <rPr>
        <rFont val="Calibri"/>
        <color rgb="FFFF0000"/>
        <sz val="9.0"/>
      </rPr>
      <t>-$</t>
    </r>
  </si>
  <si>
    <r>
      <rPr>
        <rFont val="Calibri"/>
        <color theme="1"/>
        <sz val="9.0"/>
      </rPr>
      <t>PROVEEDORES</t>
    </r>
  </si>
  <si>
    <r>
      <rPr>
        <rFont val="Calibri"/>
        <color rgb="FFFF0000"/>
        <sz val="9.0"/>
      </rPr>
      <t>-$</t>
    </r>
  </si>
  <si>
    <r>
      <rPr>
        <rFont val="Calibri"/>
        <color theme="1"/>
        <sz val="9.0"/>
      </rPr>
      <t>IMPUESTO LEY 25413</t>
    </r>
  </si>
  <si>
    <r>
      <rPr>
        <rFont val="Calibri"/>
        <color rgb="FFFF0000"/>
        <sz val="9.0"/>
      </rPr>
      <t>-$</t>
    </r>
  </si>
  <si>
    <r>
      <rPr>
        <rFont val="Calibri"/>
        <b/>
        <color theme="1"/>
        <sz val="9.0"/>
      </rPr>
      <t>SALDO AL CIERRE 30-11-2025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</si>
</sst>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&quot;$&quot;#,##0.00"/>
    <numFmt numFmtId="165" formatCode="d/m"/>
    <numFmt numFmtId="166" formatCode="0.000 %"/>
    <numFmt numFmtId="167" formatCode="$ #,##0"/>
    <numFmt numFmtId="168" formatCode="$ 0"/>
    <numFmt numFmtId="169" formatCode="$ #,##0;[Red]$ #,##0"/>
    <numFmt numFmtId="170" formatCode="$ #,##0.00"/>
    <numFmt numFmtId="171" formatCode="0.00 %"/>
    <numFmt numFmtId="172" formatCode="0 %"/>
    <numFmt numFmtId="173" formatCode="#,##0.00;[Red]#,##0.00"/>
  </numFmts>
  <fonts count="37">
    <font>
      <sz val="10.0"/>
      <color rgb="FF000000"/>
      <name val="Times New Roman"/>
      <scheme val="minor"/>
    </font>
    <font>
      <color theme="1"/>
      <name val="Times New Roman"/>
      <scheme val="minor"/>
    </font>
    <font>
      <color rgb="FFFF0000"/>
      <name val="Times New Roman"/>
      <scheme val="minor"/>
    </font>
    <font>
      <sz val="10.0"/>
      <color rgb="FF000000"/>
      <name val="Times New Roman"/>
    </font>
    <font>
      <b/>
      <sz val="8.0"/>
      <color theme="1"/>
      <name val="Calibri"/>
    </font>
    <font>
      <b/>
      <sz val="9.0"/>
      <color theme="1"/>
      <name val="Calibri"/>
    </font>
    <font>
      <b/>
      <sz val="9.0"/>
      <color rgb="FF000000"/>
      <name val="Calibri"/>
    </font>
    <font>
      <sz val="9.0"/>
      <color rgb="FF000000"/>
      <name val="Calibri"/>
    </font>
    <font>
      <sz val="9.0"/>
      <color theme="1"/>
      <name val="Calibri"/>
    </font>
    <font>
      <sz val="9.0"/>
      <color rgb="FFA64D79"/>
      <name val="Calibri"/>
    </font>
    <font>
      <color theme="1"/>
      <name val="Times New Roman"/>
    </font>
    <font>
      <color rgb="FFCC0000"/>
      <name val="Times New Roman"/>
      <scheme val="minor"/>
    </font>
    <font>
      <sz val="9.0"/>
      <color rgb="FFFF0000"/>
      <name val="Calibri"/>
    </font>
    <font>
      <color rgb="FFE06666"/>
      <name val="Times New Roman"/>
      <scheme val="minor"/>
    </font>
    <font>
      <color rgb="FFCC0000"/>
      <name val="Times New Roman"/>
    </font>
    <font/>
    <font>
      <b/>
      <sz val="10.0"/>
      <color theme="1"/>
      <name val="Calibri"/>
    </font>
    <font>
      <b/>
      <sz val="8.0"/>
      <color rgb="FF000000"/>
      <name val="Calibri"/>
    </font>
    <font>
      <b/>
      <sz val="8.0"/>
      <color rgb="FFFF0000"/>
      <name val="Calibri"/>
    </font>
    <font>
      <b/>
      <sz val="7.0"/>
      <color theme="1"/>
      <name val="Calibri"/>
    </font>
    <font>
      <sz val="7.0"/>
      <color theme="1"/>
      <name val="Calibri"/>
    </font>
    <font>
      <sz val="7.0"/>
      <color rgb="FF000000"/>
      <name val="Calibri"/>
    </font>
    <font>
      <sz val="7.0"/>
      <color rgb="FFCC0000"/>
      <name val="Calibri"/>
    </font>
    <font>
      <sz val="7.0"/>
      <color rgb="FF990000"/>
      <name val="Calibri"/>
    </font>
    <font>
      <sz val="7.0"/>
      <color rgb="FF38761D"/>
      <name val="Calibri"/>
    </font>
    <font>
      <color rgb="FF6AA84F"/>
      <name val="Times New Roman"/>
      <scheme val="minor"/>
    </font>
    <font>
      <b/>
      <sz val="7.0"/>
      <color rgb="FF000000"/>
      <name val="Calibri"/>
    </font>
    <font>
      <sz val="8.0"/>
      <color theme="1"/>
      <name val="Calibri"/>
    </font>
    <font>
      <sz val="8.0"/>
      <color rgb="FFFF0000"/>
      <name val="Calibri"/>
    </font>
    <font>
      <u/>
      <color rgb="FF0000FF"/>
    </font>
    <font>
      <sz val="8.0"/>
      <color rgb="FF38761D"/>
      <name val="Calibri"/>
    </font>
    <font>
      <color rgb="FF38761D"/>
      <name val="Times New Roman"/>
      <scheme val="minor"/>
    </font>
    <font>
      <sz val="8.0"/>
      <color rgb="FFCC0000"/>
      <name val="Calibri"/>
    </font>
    <font>
      <b/>
      <sz val="8.0"/>
      <color rgb="FFCC0000"/>
      <name val="Calibri"/>
    </font>
    <font>
      <color rgb="FF990000"/>
      <name val="Times New Roman"/>
      <scheme val="minor"/>
    </font>
    <font>
      <b/>
      <sz val="8.0"/>
      <color rgb="FF38761D"/>
      <name val="Calibri"/>
    </font>
    <font>
      <sz val="8.0"/>
      <color rgb="FF6AA84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B8CDE3"/>
        <bgColor rgb="FFB8CDE3"/>
      </patternFill>
    </fill>
    <fill>
      <patternFill patternType="solid">
        <fgColor rgb="FFDCE6F0"/>
        <bgColor rgb="FFDCE6F0"/>
      </patternFill>
    </fill>
    <fill>
      <patternFill patternType="solid">
        <fgColor rgb="FFFFFF00"/>
        <bgColor rgb="FFFFFF00"/>
      </patternFill>
    </fill>
    <fill>
      <patternFill patternType="solid">
        <fgColor rgb="FFD9DFF0"/>
        <bgColor rgb="FFD9DFF0"/>
      </patternFill>
    </fill>
    <fill>
      <patternFill patternType="solid">
        <fgColor rgb="FFBDBDBD"/>
        <bgColor rgb="FFBDBDBD"/>
      </patternFill>
    </fill>
    <fill>
      <patternFill patternType="solid">
        <fgColor rgb="FFFFC000"/>
        <bgColor rgb="FFFFC000"/>
      </patternFill>
    </fill>
  </fills>
  <borders count="27">
    <border/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DFDFDF"/>
      </right>
      <top style="thin">
        <color rgb="FF000000"/>
      </top>
      <bottom style="thin">
        <color rgb="FF000000"/>
      </bottom>
    </border>
    <border>
      <left style="thin">
        <color rgb="FFDFDFDF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DFDFDF"/>
      </right>
      <top style="thin">
        <color rgb="FF000000"/>
      </top>
      <bottom style="thin">
        <color rgb="FF000000"/>
      </bottom>
    </border>
    <border>
      <left style="thin">
        <color rgb="FFDFDFDF"/>
      </left>
      <right style="thin">
        <color rgb="FFDFDFDF"/>
      </right>
      <top style="thin">
        <color rgb="FF000000"/>
      </top>
      <bottom style="thin">
        <color rgb="FF000000"/>
      </bottom>
    </border>
    <border>
      <left style="thin">
        <color rgb="FFDFDFDF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readingOrder="0" vertical="top"/>
    </xf>
    <xf borderId="0" fillId="0" fontId="1" numFmtId="0" xfId="0" applyAlignment="1" applyFont="1">
      <alignment horizontal="center" readingOrder="0" vertical="top"/>
    </xf>
    <xf borderId="0" fillId="0" fontId="1" numFmtId="164" xfId="0" applyAlignment="1" applyFont="1" applyNumberFormat="1">
      <alignment horizontal="left" readingOrder="0" vertical="top"/>
    </xf>
    <xf borderId="0" fillId="0" fontId="1" numFmtId="165" xfId="0" applyAlignment="1" applyFont="1" applyNumberFormat="1">
      <alignment horizontal="left" readingOrder="0" vertical="top"/>
    </xf>
    <xf borderId="0" fillId="0" fontId="1" numFmtId="164" xfId="0" applyAlignment="1" applyFont="1" applyNumberFormat="1">
      <alignment horizontal="right" readingOrder="0" vertical="top"/>
    </xf>
    <xf borderId="0" fillId="0" fontId="2" numFmtId="164" xfId="0" applyAlignment="1" applyFont="1" applyNumberFormat="1">
      <alignment horizontal="left" vertical="top"/>
    </xf>
    <xf borderId="0" fillId="0" fontId="3" numFmtId="0" xfId="0" applyAlignment="1" applyFont="1">
      <alignment horizontal="left" shrinkToFit="0" vertical="bottom" wrapText="1"/>
    </xf>
    <xf borderId="1" fillId="2" fontId="4" numFmtId="0" xfId="0" applyAlignment="1" applyBorder="1" applyFill="1" applyFont="1">
      <alignment horizontal="left" shrinkToFit="0" vertical="top" wrapText="1"/>
    </xf>
    <xf borderId="2" fillId="0" fontId="4" numFmtId="0" xfId="0" applyAlignment="1" applyBorder="1" applyFont="1">
      <alignment horizontal="left" shrinkToFit="0" vertical="center" wrapText="1"/>
    </xf>
    <xf borderId="0" fillId="0" fontId="1" numFmtId="164" xfId="0" applyAlignment="1" applyFont="1" applyNumberFormat="1">
      <alignment horizontal="right" vertical="top"/>
    </xf>
    <xf borderId="3" fillId="0" fontId="4" numFmtId="0" xfId="0" applyAlignment="1" applyBorder="1" applyFont="1">
      <alignment horizontal="left" shrinkToFit="0" vertical="top" wrapText="1"/>
    </xf>
    <xf borderId="4" fillId="0" fontId="3" numFmtId="0" xfId="0" applyAlignment="1" applyBorder="1" applyFont="1">
      <alignment horizontal="left" shrinkToFit="0" vertical="top" wrapText="1"/>
    </xf>
    <xf borderId="4" fillId="0" fontId="4" numFmtId="0" xfId="0" applyAlignment="1" applyBorder="1" applyFont="1">
      <alignment horizontal="left" shrinkToFit="0" vertical="top" wrapText="1"/>
    </xf>
    <xf borderId="5" fillId="0" fontId="3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6" fillId="3" fontId="5" numFmtId="0" xfId="0" applyAlignment="1" applyBorder="1" applyFill="1" applyFont="1">
      <alignment horizontal="center" shrinkToFit="0" vertical="top" wrapText="1"/>
    </xf>
    <xf borderId="6" fillId="3" fontId="5" numFmtId="0" xfId="0" applyAlignment="1" applyBorder="1" applyFont="1">
      <alignment horizontal="left" shrinkToFit="0" vertical="top" wrapText="1"/>
    </xf>
    <xf borderId="6" fillId="0" fontId="6" numFmtId="1" xfId="0" applyAlignment="1" applyBorder="1" applyFont="1" applyNumberFormat="1">
      <alignment horizontal="center" shrinkToFit="1" vertical="top" wrapText="0"/>
    </xf>
    <xf borderId="6" fillId="0" fontId="5" numFmtId="0" xfId="0" applyAlignment="1" applyBorder="1" applyFont="1">
      <alignment horizontal="center" shrinkToFit="0" vertical="top" wrapText="1"/>
    </xf>
    <xf borderId="6" fillId="0" fontId="5" numFmtId="0" xfId="0" applyAlignment="1" applyBorder="1" applyFont="1">
      <alignment horizontal="left" shrinkToFit="0" vertical="top" wrapText="1"/>
    </xf>
    <xf borderId="6" fillId="0" fontId="7" numFmtId="166" xfId="0" applyAlignment="1" applyBorder="1" applyFont="1" applyNumberFormat="1">
      <alignment horizontal="center" shrinkToFit="1" vertical="top" wrapText="0"/>
    </xf>
    <xf borderId="6" fillId="0" fontId="7" numFmtId="167" xfId="0" applyAlignment="1" applyBorder="1" applyFont="1" applyNumberFormat="1">
      <alignment horizontal="center" shrinkToFit="1" vertical="top" wrapText="0"/>
    </xf>
    <xf borderId="6" fillId="0" fontId="7" numFmtId="168" xfId="0" applyAlignment="1" applyBorder="1" applyFont="1" applyNumberFormat="1">
      <alignment horizontal="center" shrinkToFit="1" vertical="top" wrapText="0"/>
    </xf>
    <xf borderId="0" fillId="0" fontId="1" numFmtId="164" xfId="0" applyAlignment="1" applyFont="1" applyNumberFormat="1">
      <alignment horizontal="left" vertical="top"/>
    </xf>
    <xf borderId="6" fillId="0" fontId="8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left" vertical="top"/>
    </xf>
    <xf borderId="6" fillId="0" fontId="9" numFmtId="167" xfId="0" applyAlignment="1" applyBorder="1" applyFont="1" applyNumberFormat="1">
      <alignment horizontal="center" shrinkToFit="1" vertical="top" wrapText="0"/>
    </xf>
    <xf borderId="0" fillId="0" fontId="10" numFmtId="0" xfId="0" applyAlignment="1" applyFont="1">
      <alignment horizontal="left" vertical="top"/>
    </xf>
    <xf borderId="0" fillId="0" fontId="10" numFmtId="0" xfId="0" applyAlignment="1" applyFont="1">
      <alignment horizontal="left" vertical="top"/>
    </xf>
    <xf borderId="0" fillId="0" fontId="11" numFmtId="165" xfId="0" applyAlignment="1" applyFont="1" applyNumberFormat="1">
      <alignment horizontal="left" readingOrder="0" vertical="top"/>
    </xf>
    <xf borderId="0" fillId="0" fontId="11" numFmtId="0" xfId="0" applyAlignment="1" applyFont="1">
      <alignment horizontal="left" readingOrder="0" vertical="top"/>
    </xf>
    <xf borderId="0" fillId="0" fontId="11" numFmtId="164" xfId="0" applyAlignment="1" applyFont="1" applyNumberFormat="1">
      <alignment horizontal="right" readingOrder="0" vertical="top"/>
    </xf>
    <xf borderId="0" fillId="0" fontId="11" numFmtId="164" xfId="0" applyAlignment="1" applyFont="1" applyNumberFormat="1">
      <alignment horizontal="right" vertical="top"/>
    </xf>
    <xf borderId="0" fillId="0" fontId="11" numFmtId="0" xfId="0" applyAlignment="1" applyFont="1">
      <alignment horizontal="left" vertical="top"/>
    </xf>
    <xf borderId="0" fillId="0" fontId="2" numFmtId="164" xfId="0" applyAlignment="1" applyFont="1" applyNumberFormat="1">
      <alignment horizontal="right" readingOrder="0" vertical="top"/>
    </xf>
    <xf borderId="0" fillId="0" fontId="1" numFmtId="0" xfId="0" applyAlignment="1" applyFont="1">
      <alignment horizontal="left" vertical="top"/>
    </xf>
    <xf borderId="0" fillId="0" fontId="10" numFmtId="0" xfId="0" applyAlignment="1" applyFont="1">
      <alignment horizontal="left" readingOrder="0" vertical="top"/>
    </xf>
    <xf borderId="0" fillId="0" fontId="11" numFmtId="0" xfId="0" applyAlignment="1" applyFont="1">
      <alignment horizontal="left" readingOrder="0" vertical="top"/>
    </xf>
    <xf borderId="6" fillId="0" fontId="12" numFmtId="169" xfId="0" applyAlignment="1" applyBorder="1" applyFont="1" applyNumberFormat="1">
      <alignment horizontal="center" shrinkToFit="1" vertical="top" wrapText="0"/>
    </xf>
    <xf borderId="0" fillId="0" fontId="1" numFmtId="0" xfId="0" applyAlignment="1" applyFont="1">
      <alignment horizontal="left" vertical="top"/>
    </xf>
    <xf borderId="0" fillId="0" fontId="1" numFmtId="170" xfId="0" applyAlignment="1" applyFont="1" applyNumberFormat="1">
      <alignment horizontal="right" vertical="top"/>
    </xf>
    <xf borderId="0" fillId="4" fontId="1" numFmtId="0" xfId="0" applyAlignment="1" applyFill="1" applyFont="1">
      <alignment horizontal="left" vertical="top"/>
    </xf>
    <xf borderId="0" fillId="4" fontId="1" numFmtId="165" xfId="0" applyAlignment="1" applyFont="1" applyNumberFormat="1">
      <alignment horizontal="left" readingOrder="0" vertical="top"/>
    </xf>
    <xf borderId="0" fillId="4" fontId="1" numFmtId="164" xfId="0" applyAlignment="1" applyFont="1" applyNumberFormat="1">
      <alignment horizontal="left" readingOrder="0" vertical="top"/>
    </xf>
    <xf borderId="0" fillId="0" fontId="13" numFmtId="170" xfId="0" applyAlignment="1" applyFont="1" applyNumberFormat="1">
      <alignment horizontal="right" vertical="top"/>
    </xf>
    <xf borderId="0" fillId="0" fontId="14" numFmtId="0" xfId="0" applyAlignment="1" applyFont="1">
      <alignment horizontal="left" readingOrder="0" vertical="top"/>
    </xf>
    <xf borderId="0" fillId="0" fontId="1" numFmtId="0" xfId="0" applyAlignment="1" applyFont="1">
      <alignment horizontal="left" readingOrder="0" vertical="top"/>
    </xf>
    <xf borderId="0" fillId="0" fontId="1" numFmtId="0" xfId="0" applyAlignment="1" applyFont="1">
      <alignment horizontal="left" vertical="top"/>
    </xf>
    <xf borderId="7" fillId="0" fontId="3" numFmtId="0" xfId="0" applyAlignment="1" applyBorder="1" applyFont="1">
      <alignment horizontal="left" shrinkToFit="0" vertical="center" wrapText="1"/>
    </xf>
    <xf borderId="8" fillId="0" fontId="15" numFmtId="0" xfId="0" applyAlignment="1" applyBorder="1" applyFont="1">
      <alignment horizontal="left" vertical="top"/>
    </xf>
    <xf borderId="6" fillId="3" fontId="6" numFmtId="171" xfId="0" applyAlignment="1" applyBorder="1" applyFont="1" applyNumberFormat="1">
      <alignment horizontal="center" shrinkToFit="1" vertical="top" wrapText="0"/>
    </xf>
    <xf borderId="6" fillId="3" fontId="6" numFmtId="167" xfId="0" applyAlignment="1" applyBorder="1" applyFont="1" applyNumberFormat="1">
      <alignment horizontal="center" shrinkToFit="1" vertical="top" wrapText="0"/>
    </xf>
    <xf borderId="0" fillId="0" fontId="16" numFmtId="0" xfId="0" applyAlignment="1" applyFont="1">
      <alignment horizontal="left" shrinkToFit="0" vertical="top" wrapText="1"/>
    </xf>
    <xf borderId="6" fillId="5" fontId="4" numFmtId="0" xfId="0" applyAlignment="1" applyBorder="1" applyFill="1" applyFont="1">
      <alignment horizontal="center" shrinkToFit="0" vertical="top" wrapText="1"/>
    </xf>
    <xf borderId="6" fillId="5" fontId="4" numFmtId="0" xfId="0" applyAlignment="1" applyBorder="1" applyFont="1">
      <alignment horizontal="left" shrinkToFit="0" vertical="top" wrapText="1"/>
    </xf>
    <xf borderId="6" fillId="0" fontId="17" numFmtId="1" xfId="0" applyAlignment="1" applyBorder="1" applyFont="1" applyNumberFormat="1">
      <alignment horizontal="center" shrinkToFit="1" vertical="top" wrapText="0"/>
    </xf>
    <xf borderId="6" fillId="0" fontId="4" numFmtId="0" xfId="0" applyAlignment="1" applyBorder="1" applyFont="1">
      <alignment horizontal="center" shrinkToFit="0" vertical="top" wrapText="1"/>
    </xf>
    <xf borderId="6" fillId="0" fontId="4" numFmtId="0" xfId="0" applyAlignment="1" applyBorder="1" applyFont="1">
      <alignment horizontal="left" shrinkToFit="0" vertical="top" wrapText="1"/>
    </xf>
    <xf borderId="6" fillId="0" fontId="18" numFmtId="169" xfId="0" applyAlignment="1" applyBorder="1" applyFont="1" applyNumberFormat="1">
      <alignment horizontal="center" shrinkToFit="1" vertical="top" wrapText="0"/>
    </xf>
    <xf borderId="6" fillId="5" fontId="18" numFmtId="169" xfId="0" applyAlignment="1" applyBorder="1" applyFont="1" applyNumberFormat="1">
      <alignment horizontal="center" shrinkToFit="1" vertical="top" wrapText="0"/>
    </xf>
    <xf borderId="0" fillId="0" fontId="19" numFmtId="0" xfId="0" applyAlignment="1" applyFont="1">
      <alignment horizontal="left" shrinkToFit="0" vertical="top" wrapText="1"/>
    </xf>
    <xf borderId="3" fillId="3" fontId="19" numFmtId="0" xfId="0" applyAlignment="1" applyBorder="1" applyFont="1">
      <alignment horizontal="left" shrinkToFit="0" vertical="top" wrapText="1"/>
    </xf>
    <xf borderId="4" fillId="0" fontId="15" numFmtId="0" xfId="0" applyAlignment="1" applyBorder="1" applyFont="1">
      <alignment horizontal="left" vertical="top"/>
    </xf>
    <xf borderId="5" fillId="0" fontId="15" numFmtId="0" xfId="0" applyAlignment="1" applyBorder="1" applyFont="1">
      <alignment horizontal="left" vertical="top"/>
    </xf>
    <xf borderId="6" fillId="3" fontId="19" numFmtId="0" xfId="0" applyAlignment="1" applyBorder="1" applyFont="1">
      <alignment horizontal="center" shrinkToFit="0" vertical="top" wrapText="1"/>
    </xf>
    <xf borderId="6" fillId="3" fontId="3" numFmtId="0" xfId="0" applyAlignment="1" applyBorder="1" applyFont="1">
      <alignment horizontal="left" shrinkToFit="0" vertical="center" wrapText="1"/>
    </xf>
    <xf borderId="6" fillId="3" fontId="3" numFmtId="0" xfId="0" applyAlignment="1" applyBorder="1" applyFont="1">
      <alignment horizontal="center" shrinkToFit="0" vertical="top" wrapText="1"/>
    </xf>
    <xf borderId="9" fillId="0" fontId="20" numFmtId="0" xfId="0" applyAlignment="1" applyBorder="1" applyFont="1">
      <alignment horizontal="left" shrinkToFit="0" vertical="top" wrapText="1"/>
    </xf>
    <xf borderId="7" fillId="0" fontId="15" numFmtId="0" xfId="0" applyAlignment="1" applyBorder="1" applyFont="1">
      <alignment horizontal="left" vertical="top"/>
    </xf>
    <xf borderId="10" fillId="0" fontId="3" numFmtId="0" xfId="0" applyAlignment="1" applyBorder="1" applyFont="1">
      <alignment horizontal="left" shrinkToFit="0" vertical="center" wrapText="1"/>
    </xf>
    <xf borderId="9" fillId="0" fontId="3" numFmtId="0" xfId="0" applyAlignment="1" applyBorder="1" applyFont="1">
      <alignment horizontal="left" shrinkToFit="0" vertical="top" wrapText="1"/>
    </xf>
    <xf borderId="11" fillId="0" fontId="20" numFmtId="0" xfId="0" applyAlignment="1" applyBorder="1" applyFont="1">
      <alignment horizontal="left" shrinkToFit="0" vertical="top" wrapText="1"/>
    </xf>
    <xf borderId="2" fillId="0" fontId="15" numFmtId="0" xfId="0" applyAlignment="1" applyBorder="1" applyFont="1">
      <alignment horizontal="left" vertical="top"/>
    </xf>
    <xf borderId="12" fillId="0" fontId="3" numFmtId="0" xfId="0" applyAlignment="1" applyBorder="1" applyFont="1">
      <alignment horizontal="left" shrinkToFit="0" vertical="bottom" wrapText="1"/>
    </xf>
    <xf borderId="13" fillId="0" fontId="15" numFmtId="0" xfId="0" applyAlignment="1" applyBorder="1" applyFont="1">
      <alignment horizontal="left" vertical="top"/>
    </xf>
    <xf borderId="14" fillId="0" fontId="15" numFmtId="0" xfId="0" applyAlignment="1" applyBorder="1" applyFont="1">
      <alignment horizontal="left" vertical="top"/>
    </xf>
    <xf borderId="3" fillId="0" fontId="3" numFmtId="0" xfId="0" applyAlignment="1" applyBorder="1" applyFont="1">
      <alignment horizontal="left" shrinkToFit="0" vertical="bottom" wrapText="1"/>
    </xf>
    <xf borderId="6" fillId="0" fontId="3" numFmtId="0" xfId="0" applyAlignment="1" applyBorder="1" applyFont="1">
      <alignment horizontal="left" shrinkToFit="0" vertical="bottom" wrapText="1"/>
    </xf>
    <xf borderId="3" fillId="0" fontId="20" numFmtId="0" xfId="0" applyAlignment="1" applyBorder="1" applyFont="1">
      <alignment horizontal="left" shrinkToFit="0" vertical="top" wrapText="1"/>
    </xf>
    <xf borderId="6" fillId="0" fontId="21" numFmtId="170" xfId="0" applyAlignment="1" applyBorder="1" applyFont="1" applyNumberFormat="1">
      <alignment horizontal="center" shrinkToFit="1" vertical="top" wrapText="0"/>
    </xf>
    <xf borderId="15" fillId="0" fontId="20" numFmtId="0" xfId="0" applyAlignment="1" applyBorder="1" applyFont="1">
      <alignment horizontal="left" shrinkToFit="0" vertical="top" wrapText="1"/>
    </xf>
    <xf borderId="16" fillId="0" fontId="3" numFmtId="0" xfId="0" applyAlignment="1" applyBorder="1" applyFont="1">
      <alignment horizontal="left" shrinkToFit="0" vertical="bottom" wrapText="1"/>
    </xf>
    <xf borderId="6" fillId="0" fontId="22" numFmtId="170" xfId="0" applyAlignment="1" applyBorder="1" applyFont="1" applyNumberFormat="1">
      <alignment horizontal="center" shrinkToFit="1" vertical="top" wrapText="0"/>
    </xf>
    <xf borderId="0" fillId="0" fontId="1" numFmtId="0" xfId="0" applyAlignment="1" applyFont="1">
      <alignment horizontal="right" readingOrder="0" vertical="top"/>
    </xf>
    <xf borderId="6" fillId="0" fontId="23" numFmtId="170" xfId="0" applyAlignment="1" applyBorder="1" applyFont="1" applyNumberFormat="1">
      <alignment horizontal="center" shrinkToFit="1" vertical="top" wrapText="0"/>
    </xf>
    <xf borderId="6" fillId="0" fontId="24" numFmtId="170" xfId="0" applyAlignment="1" applyBorder="1" applyFont="1" applyNumberFormat="1">
      <alignment horizontal="center" shrinkToFit="1" vertical="top" wrapText="0"/>
    </xf>
    <xf borderId="0" fillId="0" fontId="25" numFmtId="164" xfId="0" applyAlignment="1" applyFont="1" applyNumberFormat="1">
      <alignment horizontal="right" readingOrder="0" vertical="top"/>
    </xf>
    <xf borderId="17" fillId="0" fontId="15" numFmtId="0" xfId="0" applyAlignment="1" applyBorder="1" applyFont="1">
      <alignment horizontal="left" vertical="top"/>
    </xf>
    <xf borderId="0" fillId="0" fontId="1" numFmtId="0" xfId="0" applyAlignment="1" applyFont="1">
      <alignment horizontal="right" vertical="top"/>
    </xf>
    <xf borderId="3" fillId="0" fontId="20" numFmtId="0" xfId="0" applyAlignment="1" applyBorder="1" applyFont="1">
      <alignment horizontal="center" shrinkToFit="0" vertical="top" wrapText="1"/>
    </xf>
    <xf borderId="18" fillId="0" fontId="21" numFmtId="170" xfId="0" applyAlignment="1" applyBorder="1" applyFont="1" applyNumberFormat="1">
      <alignment horizontal="center" shrinkToFit="1" vertical="top" wrapText="0"/>
    </xf>
    <xf borderId="19" fillId="0" fontId="3" numFmtId="0" xfId="0" applyAlignment="1" applyBorder="1" applyFont="1">
      <alignment horizontal="left" shrinkToFit="0" vertical="bottom" wrapText="1"/>
    </xf>
    <xf borderId="4" fillId="0" fontId="19" numFmtId="0" xfId="0" applyAlignment="1" applyBorder="1" applyFont="1">
      <alignment horizontal="left" shrinkToFit="0" vertical="top" wrapText="1"/>
    </xf>
    <xf borderId="5" fillId="0" fontId="26" numFmtId="170" xfId="0" applyAlignment="1" applyBorder="1" applyFont="1" applyNumberFormat="1">
      <alignment horizontal="center" shrinkToFit="1" vertical="top" wrapText="0"/>
    </xf>
    <xf borderId="20" fillId="4" fontId="26" numFmtId="172" xfId="0" applyAlignment="1" applyBorder="1" applyFont="1" applyNumberFormat="1">
      <alignment horizontal="right" shrinkToFit="1" vertical="top" wrapText="0"/>
    </xf>
    <xf borderId="14" fillId="0" fontId="3" numFmtId="0" xfId="0" applyAlignment="1" applyBorder="1" applyFont="1">
      <alignment horizontal="left" shrinkToFit="0" vertical="top" wrapText="1"/>
    </xf>
    <xf borderId="4" fillId="0" fontId="3" numFmtId="0" xfId="0" applyAlignment="1" applyBorder="1" applyFont="1">
      <alignment horizontal="left" shrinkToFit="0" vertical="bottom" wrapText="1"/>
    </xf>
    <xf borderId="3" fillId="3" fontId="4" numFmtId="0" xfId="0" applyAlignment="1" applyBorder="1" applyFont="1">
      <alignment horizontal="left" shrinkToFit="0" vertical="top" wrapText="1"/>
    </xf>
    <xf borderId="6" fillId="3" fontId="4" numFmtId="0" xfId="0" applyAlignment="1" applyBorder="1" applyFont="1">
      <alignment horizontal="center" shrinkToFit="0" vertical="top" wrapText="1"/>
    </xf>
    <xf borderId="6" fillId="0" fontId="27" numFmtId="0" xfId="0" applyAlignment="1" applyBorder="1" applyFont="1">
      <alignment horizontal="left" shrinkToFit="0" vertical="top" wrapText="1"/>
    </xf>
    <xf borderId="6" fillId="0" fontId="27" numFmtId="0" xfId="0" applyAlignment="1" applyBorder="1" applyFont="1">
      <alignment horizontal="center" shrinkToFit="0" vertical="top" wrapText="1"/>
    </xf>
    <xf borderId="6" fillId="0" fontId="28" numFmtId="170" xfId="0" applyAlignment="1" applyBorder="1" applyFont="1" applyNumberFormat="1">
      <alignment horizontal="center" shrinkToFit="1" vertical="top" wrapText="0"/>
    </xf>
    <xf borderId="0" fillId="0" fontId="29" numFmtId="0" xfId="0" applyAlignment="1" applyFont="1">
      <alignment horizontal="left" readingOrder="0" vertical="top"/>
    </xf>
    <xf borderId="5" fillId="0" fontId="17" numFmtId="170" xfId="0" applyAlignment="1" applyBorder="1" applyFont="1" applyNumberFormat="1">
      <alignment horizontal="center" shrinkToFit="1" vertical="top" wrapText="0"/>
    </xf>
    <xf borderId="20" fillId="4" fontId="17" numFmtId="172" xfId="0" applyAlignment="1" applyBorder="1" applyFont="1" applyNumberFormat="1">
      <alignment horizontal="right" shrinkToFit="1" vertical="top" wrapText="0"/>
    </xf>
    <xf borderId="6" fillId="0" fontId="30" numFmtId="170" xfId="0" applyAlignment="1" applyBorder="1" applyFont="1" applyNumberFormat="1">
      <alignment horizontal="center" shrinkToFit="1" vertical="top" wrapText="0"/>
    </xf>
    <xf borderId="0" fillId="0" fontId="31" numFmtId="164" xfId="0" applyAlignment="1" applyFont="1" applyNumberFormat="1">
      <alignment horizontal="left" vertical="top"/>
    </xf>
    <xf borderId="6" fillId="3" fontId="4" numFmtId="0" xfId="0" applyAlignment="1" applyBorder="1" applyFont="1">
      <alignment horizontal="left" shrinkToFit="0" vertical="top" wrapText="1"/>
    </xf>
    <xf borderId="6" fillId="0" fontId="3" numFmtId="0" xfId="0" applyAlignment="1" applyBorder="1" applyFont="1">
      <alignment horizontal="left" shrinkToFit="0" vertical="top" wrapText="1"/>
    </xf>
    <xf borderId="6" fillId="0" fontId="3" numFmtId="0" xfId="0" applyAlignment="1" applyBorder="1" applyFont="1">
      <alignment horizontal="left" shrinkToFit="0" vertical="center" wrapText="1"/>
    </xf>
    <xf borderId="6" fillId="0" fontId="32" numFmtId="170" xfId="0" applyAlignment="1" applyBorder="1" applyFont="1" applyNumberFormat="1">
      <alignment horizontal="left" shrinkToFit="1" vertical="top" wrapText="0"/>
    </xf>
    <xf borderId="6" fillId="0" fontId="27" numFmtId="0" xfId="0" applyAlignment="1" applyBorder="1" applyFont="1">
      <alignment horizontal="left" readingOrder="0" shrinkToFit="0" vertical="top" wrapText="1"/>
    </xf>
    <xf borderId="6" fillId="0" fontId="32" numFmtId="170" xfId="0" applyAlignment="1" applyBorder="1" applyFont="1" applyNumberFormat="1">
      <alignment horizontal="center" shrinkToFit="1" vertical="top" wrapText="0"/>
    </xf>
    <xf borderId="6" fillId="0" fontId="30" numFmtId="170" xfId="0" applyAlignment="1" applyBorder="1" applyFont="1" applyNumberFormat="1">
      <alignment horizontal="left" shrinkToFit="1" vertical="top" wrapText="0"/>
    </xf>
    <xf borderId="6" fillId="0" fontId="30" numFmtId="167" xfId="0" applyAlignment="1" applyBorder="1" applyFont="1" applyNumberFormat="1">
      <alignment horizontal="center" shrinkToFit="1" vertical="top" wrapText="0"/>
    </xf>
    <xf borderId="5" fillId="0" fontId="33" numFmtId="170" xfId="0" applyAlignment="1" applyBorder="1" applyFont="1" applyNumberFormat="1">
      <alignment horizontal="center" shrinkToFit="1" vertical="top" wrapText="0"/>
    </xf>
    <xf borderId="0" fillId="0" fontId="34" numFmtId="164" xfId="0" applyAlignment="1" applyFont="1" applyNumberFormat="1">
      <alignment horizontal="right" vertical="top"/>
    </xf>
    <xf borderId="3" fillId="0" fontId="27" numFmtId="0" xfId="0" applyAlignment="1" applyBorder="1" applyFont="1">
      <alignment horizontal="left" shrinkToFit="0" vertical="top" wrapText="1"/>
    </xf>
    <xf borderId="5" fillId="0" fontId="35" numFmtId="170" xfId="0" applyAlignment="1" applyBorder="1" applyFont="1" applyNumberFormat="1">
      <alignment horizontal="center" shrinkToFit="1" vertical="top" wrapText="0"/>
    </xf>
    <xf borderId="6" fillId="0" fontId="36" numFmtId="170" xfId="0" applyAlignment="1" applyBorder="1" applyFont="1" applyNumberFormat="1">
      <alignment horizontal="center" shrinkToFit="1" vertical="top" wrapText="0"/>
    </xf>
    <xf borderId="6" fillId="0" fontId="20" numFmtId="0" xfId="0" applyAlignment="1" applyBorder="1" applyFont="1">
      <alignment horizontal="left" shrinkToFit="0" vertical="top" wrapText="1"/>
    </xf>
    <xf borderId="21" fillId="6" fontId="3" numFmtId="0" xfId="0" applyAlignment="1" applyBorder="1" applyFill="1" applyFont="1">
      <alignment horizontal="left" shrinkToFit="0" vertical="bottom" wrapText="1"/>
    </xf>
    <xf borderId="21" fillId="6" fontId="4" numFmtId="0" xfId="0" applyAlignment="1" applyBorder="1" applyFont="1">
      <alignment horizontal="left" shrinkToFit="0" vertical="top" wrapText="1"/>
    </xf>
    <xf borderId="21" fillId="6" fontId="17" numFmtId="170" xfId="0" applyAlignment="1" applyBorder="1" applyFont="1" applyNumberFormat="1">
      <alignment horizontal="center" shrinkToFit="1" vertical="top" wrapText="0"/>
    </xf>
    <xf borderId="21" fillId="6" fontId="17" numFmtId="170" xfId="0" applyAlignment="1" applyBorder="1" applyFont="1" applyNumberFormat="1">
      <alignment horizontal="left" shrinkToFit="1" vertical="top" wrapText="0"/>
    </xf>
    <xf borderId="22" fillId="6" fontId="17" numFmtId="170" xfId="0" applyAlignment="1" applyBorder="1" applyFont="1" applyNumberFormat="1">
      <alignment horizontal="center" shrinkToFit="1" vertical="top" wrapText="0"/>
    </xf>
    <xf borderId="23" fillId="6" fontId="4" numFmtId="0" xfId="0" applyAlignment="1" applyBorder="1" applyFont="1">
      <alignment horizontal="left" shrinkToFit="0" vertical="top" wrapText="1"/>
    </xf>
    <xf borderId="24" fillId="0" fontId="15" numFmtId="0" xfId="0" applyAlignment="1" applyBorder="1" applyFont="1">
      <alignment horizontal="left" vertical="top"/>
    </xf>
    <xf borderId="25" fillId="0" fontId="15" numFmtId="0" xfId="0" applyAlignment="1" applyBorder="1" applyFont="1">
      <alignment horizontal="left" vertical="top"/>
    </xf>
    <xf borderId="6" fillId="7" fontId="17" numFmtId="170" xfId="0" applyAlignment="1" applyBorder="1" applyFill="1" applyFont="1" applyNumberFormat="1">
      <alignment horizontal="center" shrinkToFit="1" vertical="top" wrapText="0"/>
    </xf>
    <xf borderId="3" fillId="3" fontId="8" numFmtId="0" xfId="0" applyAlignment="1" applyBorder="1" applyFont="1">
      <alignment horizontal="center" shrinkToFit="0" vertical="top" wrapText="1"/>
    </xf>
    <xf borderId="6" fillId="6" fontId="5" numFmtId="0" xfId="0" applyAlignment="1" applyBorder="1" applyFont="1">
      <alignment horizontal="left" shrinkToFit="0" vertical="top" wrapText="1"/>
    </xf>
    <xf borderId="3" fillId="6" fontId="6" numFmtId="170" xfId="0" applyAlignment="1" applyBorder="1" applyFont="1" applyNumberFormat="1">
      <alignment horizontal="left" shrinkToFit="1" vertical="top" wrapText="0"/>
    </xf>
    <xf borderId="26" fillId="0" fontId="15" numFmtId="0" xfId="0" applyAlignment="1" applyBorder="1" applyFont="1">
      <alignment horizontal="left" vertical="top"/>
    </xf>
    <xf borderId="6" fillId="0" fontId="8" numFmtId="0" xfId="0" applyAlignment="1" applyBorder="1" applyFont="1">
      <alignment horizontal="left" shrinkToFit="0" vertical="top" wrapText="1"/>
    </xf>
    <xf borderId="3" fillId="0" fontId="7" numFmtId="170" xfId="0" applyAlignment="1" applyBorder="1" applyFont="1" applyNumberFormat="1">
      <alignment horizontal="left" shrinkToFit="1" vertical="top" wrapText="0"/>
    </xf>
    <xf borderId="3" fillId="0" fontId="8" numFmtId="0" xfId="0" applyAlignment="1" applyBorder="1" applyFont="1">
      <alignment horizontal="center" shrinkToFit="0" vertical="top" wrapText="1"/>
    </xf>
    <xf borderId="4" fillId="0" fontId="12" numFmtId="173" xfId="0" applyAlignment="1" applyBorder="1" applyFont="1" applyNumberFormat="1">
      <alignment horizontal="right" shrinkToFit="1" vertical="top" wrapText="0"/>
    </xf>
    <xf borderId="0" fillId="0" fontId="1" numFmtId="170" xfId="0" applyAlignment="1" applyFont="1" applyNumberFormat="1">
      <alignment horizontal="left" readingOrder="0" vertical="top"/>
    </xf>
    <xf borderId="0" fillId="0" fontId="11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457200</xdr:colOff>
      <xdr:row>0</xdr:row>
      <xdr:rowOff>0</xdr:rowOff>
    </xdr:from>
    <xdr:ext cx="2905125" cy="142875"/>
    <xdr:grpSp>
      <xdr:nvGrpSpPr>
        <xdr:cNvPr id="2" name="Shape 2"/>
        <xdr:cNvGrpSpPr/>
      </xdr:nvGrpSpPr>
      <xdr:grpSpPr>
        <a:xfrm>
          <a:off x="3890898" y="3706975"/>
          <a:ext cx="2910200" cy="146050"/>
          <a:chOff x="3890898" y="3706975"/>
          <a:chExt cx="2910200" cy="146050"/>
        </a:xfrm>
      </xdr:grpSpPr>
      <xdr:grpSp>
        <xdr:nvGrpSpPr>
          <xdr:cNvPr id="3" name="Shape 3"/>
          <xdr:cNvGrpSpPr/>
        </xdr:nvGrpSpPr>
        <xdr:grpSpPr>
          <a:xfrm>
            <a:off x="3890898" y="3706975"/>
            <a:ext cx="2910200" cy="146050"/>
            <a:chOff x="0" y="0"/>
            <a:chExt cx="2910200" cy="1460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2910200" cy="1460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/>
          </xdr:nvSpPr>
          <xdr:spPr>
            <a:xfrm>
              <a:off x="2216" y="2216"/>
              <a:ext cx="2905760" cy="141605"/>
            </a:xfrm>
            <a:custGeom>
              <a:rect b="b" l="l" r="r" t="t"/>
              <a:pathLst>
                <a:path extrusionOk="0" h="141605" w="2905760">
                  <a:moveTo>
                    <a:pt x="2905760" y="0"/>
                  </a:moveTo>
                  <a:lnTo>
                    <a:pt x="0" y="0"/>
                  </a:lnTo>
                  <a:lnTo>
                    <a:pt x="0" y="141604"/>
                  </a:lnTo>
                  <a:lnTo>
                    <a:pt x="2905760" y="141604"/>
                  </a:lnTo>
                  <a:lnTo>
                    <a:pt x="2905760" y="0"/>
                  </a:lnTo>
                  <a:close/>
                </a:path>
              </a:pathLst>
            </a:custGeom>
            <a:solidFill>
              <a:srgbClr val="B8CDE3">
                <a:alpha val="50196"/>
              </a:srgbClr>
            </a:solidFill>
            <a:ln>
              <a:noFill/>
            </a:ln>
          </xdr:spPr>
        </xdr:sp>
        <xdr:sp>
          <xdr:nvSpPr>
            <xdr:cNvPr id="6" name="Shape 6"/>
            <xdr:cNvSpPr/>
          </xdr:nvSpPr>
          <xdr:spPr>
            <a:xfrm>
              <a:off x="2216" y="2216"/>
              <a:ext cx="2905760" cy="141605"/>
            </a:xfrm>
            <a:custGeom>
              <a:rect b="b" l="l" r="r" t="t"/>
              <a:pathLst>
                <a:path extrusionOk="0" h="141605" w="2905760">
                  <a:moveTo>
                    <a:pt x="0" y="141604"/>
                  </a:moveTo>
                  <a:lnTo>
                    <a:pt x="2905760" y="141604"/>
                  </a:lnTo>
                  <a:lnTo>
                    <a:pt x="2905760" y="0"/>
                  </a:lnTo>
                  <a:lnTo>
                    <a:pt x="0" y="0"/>
                  </a:lnTo>
                  <a:lnTo>
                    <a:pt x="0" y="141604"/>
                  </a:lnTo>
                  <a:close/>
                </a:path>
              </a:pathLst>
            </a:cu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</xdr:sp>
      </xdr:grpSp>
    </xdr:grpSp>
    <xdr:clientData fLocksWithSheet="0"/>
  </xdr:oneCellAnchor>
  <xdr:oneCellAnchor>
    <xdr:from>
      <xdr:col>0</xdr:col>
      <xdr:colOff>28575</xdr:colOff>
      <xdr:row>2</xdr:row>
      <xdr:rowOff>200025</xdr:rowOff>
    </xdr:from>
    <xdr:ext cx="657225" cy="66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2</xdr:row>
      <xdr:rowOff>342900</xdr:rowOff>
    </xdr:from>
    <xdr:ext cx="666750" cy="5715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2</xdr:row>
      <xdr:rowOff>476250</xdr:rowOff>
    </xdr:from>
    <xdr:ext cx="1581150" cy="51435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200025</xdr:rowOff>
    </xdr:from>
    <xdr:ext cx="1543050" cy="4667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504825</xdr:colOff>
      <xdr:row>2</xdr:row>
      <xdr:rowOff>66675</xdr:rowOff>
    </xdr:from>
    <xdr:ext cx="876300" cy="8858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6.43"/>
    <col customWidth="1" min="3" max="3" width="28.71"/>
    <col customWidth="1" min="4" max="4" width="14.0"/>
    <col customWidth="1" min="5" max="9" width="12.43"/>
    <col customWidth="1" min="10" max="10" width="16.43"/>
    <col customWidth="1" min="11" max="11" width="20.43"/>
    <col customWidth="1" min="12" max="15" width="12.43"/>
    <col customWidth="1" min="16" max="16" width="12.14"/>
    <col customWidth="1" min="17" max="17" width="12.29"/>
    <col customWidth="1" min="18" max="26" width="8.71"/>
  </cols>
  <sheetData>
    <row r="1" ht="12.0" customHeight="1">
      <c r="A1" s="7"/>
      <c r="C1" s="8" t="s">
        <v>17</v>
      </c>
      <c r="D1" s="7"/>
    </row>
    <row r="2" ht="24.75" customHeight="1">
      <c r="A2" s="9" t="s">
        <v>18</v>
      </c>
      <c r="B2" s="9" t="s">
        <v>19</v>
      </c>
      <c r="C2" s="9" t="s">
        <v>20</v>
      </c>
      <c r="D2" s="9" t="s">
        <v>21</v>
      </c>
    </row>
    <row r="3" ht="83.25" customHeight="1">
      <c r="A3" s="11" t="s">
        <v>22</v>
      </c>
      <c r="B3" s="12"/>
      <c r="C3" s="13" t="s">
        <v>23</v>
      </c>
      <c r="D3" s="14"/>
    </row>
    <row r="4">
      <c r="A4" s="15" t="s">
        <v>24</v>
      </c>
    </row>
    <row r="5">
      <c r="A5" s="16" t="s">
        <v>25</v>
      </c>
      <c r="B5" s="16" t="s">
        <v>26</v>
      </c>
      <c r="C5" s="17" t="s">
        <v>27</v>
      </c>
      <c r="D5" s="16" t="s">
        <v>28</v>
      </c>
      <c r="E5" s="17" t="s">
        <v>29</v>
      </c>
      <c r="F5" s="16" t="s">
        <v>30</v>
      </c>
      <c r="G5" s="16" t="s">
        <v>31</v>
      </c>
      <c r="H5" s="1" t="s">
        <v>2</v>
      </c>
      <c r="I5" s="1" t="s">
        <v>32</v>
      </c>
    </row>
    <row r="6">
      <c r="A6" s="18">
        <v>1.0</v>
      </c>
      <c r="B6" s="19" t="s">
        <v>33</v>
      </c>
      <c r="C6" s="20" t="s">
        <v>34</v>
      </c>
      <c r="D6" s="21">
        <v>0.0156</v>
      </c>
      <c r="E6" s="22">
        <v>217571.0</v>
      </c>
      <c r="F6" s="22">
        <v>217600.0</v>
      </c>
      <c r="G6" s="23">
        <v>-29.0</v>
      </c>
      <c r="H6" s="4">
        <v>46343.0</v>
      </c>
      <c r="I6" s="24">
        <v>217600.0</v>
      </c>
      <c r="J6" s="1" t="s">
        <v>35</v>
      </c>
    </row>
    <row r="7">
      <c r="A7" s="18">
        <v>2.0</v>
      </c>
      <c r="B7" s="19" t="s">
        <v>36</v>
      </c>
      <c r="C7" s="20" t="s">
        <v>37</v>
      </c>
      <c r="D7" s="21">
        <v>0.0107</v>
      </c>
      <c r="E7" s="22">
        <v>158684.0</v>
      </c>
      <c r="F7" s="22">
        <v>158684.0</v>
      </c>
      <c r="G7" s="25" t="s">
        <v>38</v>
      </c>
      <c r="H7" s="4">
        <v>46336.0</v>
      </c>
      <c r="I7" s="24">
        <v>158684.02</v>
      </c>
      <c r="J7" s="26" t="b">
        <f t="shared" ref="J7:J17" si="1">I7=F7</f>
        <v>0</v>
      </c>
    </row>
    <row r="8">
      <c r="A8" s="18">
        <v>3.0</v>
      </c>
      <c r="B8" s="19" t="s">
        <v>39</v>
      </c>
      <c r="C8" s="20" t="s">
        <v>40</v>
      </c>
      <c r="D8" s="21">
        <v>0.0103</v>
      </c>
      <c r="E8" s="22">
        <v>153876.0</v>
      </c>
      <c r="F8" s="22">
        <v>153876.0</v>
      </c>
      <c r="G8" s="25" t="s">
        <v>41</v>
      </c>
      <c r="H8" s="4">
        <v>46346.0</v>
      </c>
      <c r="I8" s="24">
        <v>153876.0</v>
      </c>
      <c r="J8" s="26" t="b">
        <f t="shared" si="1"/>
        <v>1</v>
      </c>
    </row>
    <row r="9">
      <c r="A9" s="18">
        <v>4.0</v>
      </c>
      <c r="B9" s="19" t="s">
        <v>42</v>
      </c>
      <c r="C9" s="20" t="s">
        <v>43</v>
      </c>
      <c r="D9" s="21">
        <v>0.0103</v>
      </c>
      <c r="E9" s="22">
        <v>153876.0</v>
      </c>
      <c r="F9" s="27">
        <v>153876.0</v>
      </c>
      <c r="G9" s="25" t="s">
        <v>45</v>
      </c>
      <c r="I9" s="24">
        <v>153876.0</v>
      </c>
      <c r="J9" s="26" t="b">
        <f t="shared" si="1"/>
        <v>1</v>
      </c>
    </row>
    <row r="10">
      <c r="A10" s="18">
        <v>5.0</v>
      </c>
      <c r="B10" s="19" t="s">
        <v>49</v>
      </c>
      <c r="C10" s="20" t="s">
        <v>52</v>
      </c>
      <c r="D10" s="21">
        <v>0.0114</v>
      </c>
      <c r="E10" s="22">
        <v>155168.0</v>
      </c>
      <c r="F10" s="22">
        <v>155168.0</v>
      </c>
      <c r="G10" s="25" t="s">
        <v>55</v>
      </c>
      <c r="H10" s="4">
        <v>46346.0</v>
      </c>
      <c r="I10" s="24">
        <v>155168.0</v>
      </c>
      <c r="J10" s="26" t="b">
        <f t="shared" si="1"/>
        <v>1</v>
      </c>
      <c r="K10" s="26" t="s">
        <v>56</v>
      </c>
      <c r="L10" s="4">
        <v>46330.0</v>
      </c>
      <c r="M10" s="27">
        <v>153876.0</v>
      </c>
    </row>
    <row r="11">
      <c r="A11" s="18">
        <v>6.0</v>
      </c>
      <c r="B11" s="19" t="s">
        <v>58</v>
      </c>
      <c r="C11" s="20" t="s">
        <v>60</v>
      </c>
      <c r="D11" s="21">
        <v>0.0172</v>
      </c>
      <c r="E11" s="22">
        <v>236825.0</v>
      </c>
      <c r="F11" s="22">
        <v>236825.0</v>
      </c>
      <c r="G11" s="25" t="s">
        <v>63</v>
      </c>
      <c r="H11" s="4">
        <v>46339.0</v>
      </c>
      <c r="I11" s="24">
        <v>236825.06</v>
      </c>
      <c r="J11" s="26" t="b">
        <f t="shared" si="1"/>
        <v>0</v>
      </c>
      <c r="K11" s="26" t="s">
        <v>64</v>
      </c>
      <c r="L11" s="4">
        <v>46330.0</v>
      </c>
      <c r="M11" s="27">
        <v>152674.0</v>
      </c>
    </row>
    <row r="12">
      <c r="A12" s="18">
        <v>7.0</v>
      </c>
      <c r="B12" s="19" t="s">
        <v>67</v>
      </c>
      <c r="C12" s="20" t="s">
        <v>68</v>
      </c>
      <c r="D12" s="21">
        <v>0.016</v>
      </c>
      <c r="E12" s="22">
        <v>451468.0</v>
      </c>
      <c r="F12" s="22">
        <v>208800.0</v>
      </c>
      <c r="G12" s="39">
        <v>242668.0</v>
      </c>
      <c r="H12" s="4">
        <v>46353.0</v>
      </c>
      <c r="I12" s="24">
        <v>208800.0</v>
      </c>
      <c r="J12" s="26" t="b">
        <f t="shared" si="1"/>
        <v>1</v>
      </c>
      <c r="K12" s="26" t="s">
        <v>75</v>
      </c>
      <c r="L12" s="4">
        <v>46330.0</v>
      </c>
      <c r="M12" s="27">
        <v>152674.0</v>
      </c>
    </row>
    <row r="13">
      <c r="A13" s="18">
        <v>8.0</v>
      </c>
      <c r="B13" s="19" t="s">
        <v>76</v>
      </c>
      <c r="C13" s="20" t="s">
        <v>78</v>
      </c>
      <c r="D13" s="21">
        <v>0.0109</v>
      </c>
      <c r="E13" s="22">
        <v>161089.0</v>
      </c>
      <c r="F13" s="22">
        <v>161089.0</v>
      </c>
      <c r="G13" s="25" t="s">
        <v>80</v>
      </c>
      <c r="H13" s="4">
        <v>46337.0</v>
      </c>
      <c r="I13" s="24">
        <v>161089.0</v>
      </c>
      <c r="J13" s="26" t="b">
        <f t="shared" si="1"/>
        <v>1</v>
      </c>
      <c r="K13" s="42" t="s">
        <v>82</v>
      </c>
      <c r="L13" s="43">
        <v>46331.0</v>
      </c>
      <c r="M13" s="44">
        <v>172139.0</v>
      </c>
    </row>
    <row r="14">
      <c r="A14" s="18">
        <v>9.0</v>
      </c>
      <c r="B14" s="19" t="s">
        <v>83</v>
      </c>
      <c r="C14" s="20" t="s">
        <v>84</v>
      </c>
      <c r="D14" s="21">
        <v>0.0103</v>
      </c>
      <c r="E14" s="22">
        <v>153876.0</v>
      </c>
      <c r="F14" s="27">
        <v>153876.0</v>
      </c>
      <c r="G14" s="25" t="s">
        <v>86</v>
      </c>
      <c r="H14" s="4"/>
      <c r="I14" s="24">
        <v>153876.0</v>
      </c>
      <c r="J14" s="26" t="b">
        <f t="shared" si="1"/>
        <v>1</v>
      </c>
      <c r="K14" s="26" t="s">
        <v>88</v>
      </c>
      <c r="L14" s="4">
        <v>46333.0</v>
      </c>
      <c r="M14" s="27">
        <v>153876.0</v>
      </c>
    </row>
    <row r="15">
      <c r="A15" s="18">
        <v>10.0</v>
      </c>
      <c r="B15" s="19" t="s">
        <v>92</v>
      </c>
      <c r="C15" s="20" t="s">
        <v>95</v>
      </c>
      <c r="D15" s="21">
        <v>0.0102</v>
      </c>
      <c r="E15" s="22">
        <v>152674.0</v>
      </c>
      <c r="F15" s="27">
        <v>152674.0</v>
      </c>
      <c r="G15" s="25" t="s">
        <v>98</v>
      </c>
      <c r="I15" s="24">
        <v>152674.0</v>
      </c>
      <c r="J15" s="26" t="b">
        <f t="shared" si="1"/>
        <v>1</v>
      </c>
      <c r="K15" s="26" t="s">
        <v>99</v>
      </c>
      <c r="L15" s="4">
        <v>46333.0</v>
      </c>
      <c r="M15" s="27">
        <v>158684.0</v>
      </c>
    </row>
    <row r="16">
      <c r="A16" s="18">
        <v>11.0</v>
      </c>
      <c r="B16" s="19" t="s">
        <v>103</v>
      </c>
      <c r="C16" s="20" t="s">
        <v>105</v>
      </c>
      <c r="D16" s="21">
        <v>0.0107</v>
      </c>
      <c r="E16" s="22">
        <v>158684.0</v>
      </c>
      <c r="F16" s="27">
        <v>158684.0</v>
      </c>
      <c r="G16" s="25" t="s">
        <v>106</v>
      </c>
      <c r="I16" s="24">
        <v>158684.0</v>
      </c>
      <c r="J16" s="26" t="b">
        <f t="shared" si="1"/>
        <v>1</v>
      </c>
      <c r="K16" s="26" t="s">
        <v>107</v>
      </c>
      <c r="L16" s="4">
        <v>46333.0</v>
      </c>
      <c r="M16" s="27">
        <v>158684.0</v>
      </c>
    </row>
    <row r="17">
      <c r="A17" s="18">
        <v>12.0</v>
      </c>
      <c r="B17" s="19" t="s">
        <v>108</v>
      </c>
      <c r="C17" s="20" t="s">
        <v>109</v>
      </c>
      <c r="D17" s="21">
        <v>0.0155</v>
      </c>
      <c r="E17" s="22">
        <v>216388.0</v>
      </c>
      <c r="F17" s="22">
        <v>216388.0</v>
      </c>
      <c r="G17" s="25" t="s">
        <v>110</v>
      </c>
      <c r="H17" s="4">
        <v>46343.0</v>
      </c>
      <c r="I17" s="24">
        <v>216388.0</v>
      </c>
      <c r="J17" s="26" t="b">
        <f t="shared" si="1"/>
        <v>1</v>
      </c>
      <c r="K17" s="26" t="s">
        <v>111</v>
      </c>
      <c r="L17" s="4">
        <v>46336.0</v>
      </c>
      <c r="M17" s="27">
        <v>177919.0</v>
      </c>
    </row>
    <row r="18">
      <c r="A18" s="18">
        <v>13.0</v>
      </c>
      <c r="B18" s="19" t="s">
        <v>112</v>
      </c>
      <c r="C18" s="20" t="s">
        <v>113</v>
      </c>
      <c r="D18" s="21">
        <v>0.0159</v>
      </c>
      <c r="E18" s="22">
        <v>221197.0</v>
      </c>
      <c r="F18" s="22">
        <v>221197.0</v>
      </c>
      <c r="G18" s="25" t="s">
        <v>114</v>
      </c>
      <c r="H18" s="4">
        <v>46344.0</v>
      </c>
      <c r="I18" s="24">
        <v>379881.0</v>
      </c>
      <c r="J18" s="1" t="b">
        <v>1</v>
      </c>
      <c r="K18" s="26" t="s">
        <v>115</v>
      </c>
      <c r="L18" s="4">
        <v>46336.0</v>
      </c>
      <c r="M18" s="27">
        <v>152674.0</v>
      </c>
    </row>
    <row r="19">
      <c r="A19" s="18">
        <v>14.0</v>
      </c>
      <c r="B19" s="19" t="s">
        <v>116</v>
      </c>
      <c r="C19" s="20" t="s">
        <v>117</v>
      </c>
      <c r="D19" s="21">
        <v>0.0107</v>
      </c>
      <c r="E19" s="22">
        <v>158684.0</v>
      </c>
      <c r="F19" s="22">
        <v>158684.0</v>
      </c>
      <c r="G19" s="25" t="s">
        <v>118</v>
      </c>
      <c r="H19" s="4">
        <v>46344.0</v>
      </c>
      <c r="I19" s="24"/>
      <c r="J19" s="1" t="b">
        <v>1</v>
      </c>
      <c r="K19" s="26" t="s">
        <v>119</v>
      </c>
      <c r="L19" s="1" t="s">
        <v>120</v>
      </c>
      <c r="M19" s="27">
        <v>152674.0</v>
      </c>
    </row>
    <row r="20">
      <c r="A20" s="18">
        <v>15.0</v>
      </c>
      <c r="B20" s="19" t="s">
        <v>121</v>
      </c>
      <c r="C20" s="20" t="s">
        <v>122</v>
      </c>
      <c r="D20" s="21">
        <v>0.0102</v>
      </c>
      <c r="E20" s="22">
        <v>152674.0</v>
      </c>
      <c r="F20" s="22">
        <v>152674.0</v>
      </c>
      <c r="G20" s="25" t="s">
        <v>123</v>
      </c>
      <c r="I20" s="24">
        <v>152674.0</v>
      </c>
      <c r="J20" s="26" t="b">
        <f t="shared" ref="J20:J25" si="2">I20=F20</f>
        <v>1</v>
      </c>
      <c r="K20" s="26" t="s">
        <v>124</v>
      </c>
      <c r="L20" s="4">
        <v>46340.0</v>
      </c>
      <c r="M20" s="27">
        <v>153876.0</v>
      </c>
    </row>
    <row r="21" ht="15.75" customHeight="1">
      <c r="A21" s="18">
        <v>16.0</v>
      </c>
      <c r="B21" s="19" t="s">
        <v>125</v>
      </c>
      <c r="C21" s="20" t="s">
        <v>126</v>
      </c>
      <c r="D21" s="21">
        <v>0.0103</v>
      </c>
      <c r="E21" s="22">
        <v>153876.0</v>
      </c>
      <c r="F21" s="27">
        <v>153876.0</v>
      </c>
      <c r="G21" s="25" t="s">
        <v>127</v>
      </c>
      <c r="I21" s="24">
        <v>153876.0</v>
      </c>
      <c r="J21" s="26" t="b">
        <f t="shared" si="2"/>
        <v>1</v>
      </c>
      <c r="K21" s="26" t="s">
        <v>128</v>
      </c>
      <c r="L21" s="4">
        <v>46340.0</v>
      </c>
      <c r="M21" s="27">
        <v>177919.0</v>
      </c>
    </row>
    <row r="22" ht="15.75" customHeight="1">
      <c r="A22" s="18">
        <v>17.0</v>
      </c>
      <c r="B22" s="19" t="s">
        <v>129</v>
      </c>
      <c r="C22" s="20" t="s">
        <v>130</v>
      </c>
      <c r="D22" s="21">
        <v>0.0125</v>
      </c>
      <c r="E22" s="22">
        <v>366325.0</v>
      </c>
      <c r="F22" s="22">
        <v>366325.0</v>
      </c>
      <c r="G22" s="25" t="s">
        <v>131</v>
      </c>
      <c r="H22" s="4">
        <v>46346.0</v>
      </c>
      <c r="I22" s="24">
        <v>366325.0</v>
      </c>
      <c r="J22" s="26" t="b">
        <f t="shared" si="2"/>
        <v>1</v>
      </c>
      <c r="K22" s="26" t="s">
        <v>132</v>
      </c>
      <c r="L22" s="4">
        <v>46343.0</v>
      </c>
      <c r="M22" s="27">
        <v>152674.0</v>
      </c>
    </row>
    <row r="23" ht="15.75" customHeight="1">
      <c r="A23" s="18">
        <v>18.0</v>
      </c>
      <c r="B23" s="19" t="s">
        <v>133</v>
      </c>
      <c r="C23" s="20" t="s">
        <v>134</v>
      </c>
      <c r="D23" s="21">
        <v>0.0155</v>
      </c>
      <c r="E23" s="22">
        <v>216388.0</v>
      </c>
      <c r="F23" s="22">
        <v>216388.0</v>
      </c>
      <c r="G23" s="25" t="s">
        <v>135</v>
      </c>
      <c r="H23" s="4">
        <v>46330.0</v>
      </c>
      <c r="I23" s="24">
        <v>216388.0</v>
      </c>
      <c r="J23" s="26" t="b">
        <f t="shared" si="2"/>
        <v>1</v>
      </c>
      <c r="K23" s="26" t="s">
        <v>136</v>
      </c>
      <c r="L23" s="4">
        <v>46343.0</v>
      </c>
      <c r="M23" s="27">
        <v>177919.0</v>
      </c>
    </row>
    <row r="24" ht="15.75" customHeight="1">
      <c r="A24" s="18">
        <v>19.0</v>
      </c>
      <c r="B24" s="19" t="s">
        <v>137</v>
      </c>
      <c r="C24" s="20" t="s">
        <v>138</v>
      </c>
      <c r="D24" s="21">
        <v>0.0171</v>
      </c>
      <c r="E24" s="22">
        <v>235623.0</v>
      </c>
      <c r="F24" s="22">
        <v>216388.0</v>
      </c>
      <c r="G24" s="39">
        <v>19235.0</v>
      </c>
      <c r="H24" s="4">
        <v>46336.0</v>
      </c>
      <c r="I24" s="24">
        <v>216388.0</v>
      </c>
      <c r="J24" s="26" t="b">
        <f t="shared" si="2"/>
        <v>1</v>
      </c>
      <c r="K24" s="26" t="s">
        <v>139</v>
      </c>
      <c r="L24" s="4">
        <v>46343.0</v>
      </c>
      <c r="M24" s="27">
        <v>153876.0</v>
      </c>
    </row>
    <row r="25" ht="15.75" customHeight="1">
      <c r="A25" s="18">
        <v>20.0</v>
      </c>
      <c r="B25" s="19" t="s">
        <v>140</v>
      </c>
      <c r="C25" s="20" t="s">
        <v>141</v>
      </c>
      <c r="D25" s="21">
        <v>0.0107</v>
      </c>
      <c r="E25" s="22">
        <v>158684.0</v>
      </c>
      <c r="F25" s="27">
        <v>158684.0</v>
      </c>
      <c r="G25" s="25" t="s">
        <v>142</v>
      </c>
      <c r="I25" s="24">
        <v>158684.0</v>
      </c>
      <c r="J25" s="26" t="b">
        <f t="shared" si="2"/>
        <v>1</v>
      </c>
      <c r="L25" s="4"/>
    </row>
    <row r="26" ht="15.75" customHeight="1">
      <c r="A26" s="18">
        <v>21.0</v>
      </c>
      <c r="B26" s="19" t="s">
        <v>143</v>
      </c>
      <c r="C26" s="20" t="s">
        <v>144</v>
      </c>
      <c r="D26" s="21">
        <v>0.0119</v>
      </c>
      <c r="E26" s="22">
        <v>173110.0</v>
      </c>
      <c r="F26" s="25" t="s">
        <v>145</v>
      </c>
      <c r="G26" s="39">
        <v>173110.0</v>
      </c>
      <c r="I26" s="24"/>
      <c r="L26" s="4"/>
    </row>
    <row r="27" ht="15.75" customHeight="1">
      <c r="A27" s="18">
        <v>22.0</v>
      </c>
      <c r="B27" s="19" t="s">
        <v>146</v>
      </c>
      <c r="C27" s="20" t="s">
        <v>147</v>
      </c>
      <c r="D27" s="21">
        <v>0.0119</v>
      </c>
      <c r="E27" s="22">
        <v>173110.0</v>
      </c>
      <c r="F27" s="22">
        <v>173110.0</v>
      </c>
      <c r="G27" s="25" t="s">
        <v>148</v>
      </c>
      <c r="H27" s="4">
        <v>46330.0</v>
      </c>
      <c r="I27" s="24">
        <v>173110.0</v>
      </c>
      <c r="J27" s="26" t="b">
        <f t="shared" ref="J27:J38" si="3">I27=F27</f>
        <v>1</v>
      </c>
      <c r="L27" s="4"/>
    </row>
    <row r="28" ht="15.75" customHeight="1">
      <c r="A28" s="18">
        <v>23.0</v>
      </c>
      <c r="B28" s="19" t="s">
        <v>149</v>
      </c>
      <c r="C28" s="20" t="s">
        <v>150</v>
      </c>
      <c r="D28" s="21">
        <v>0.0124</v>
      </c>
      <c r="E28" s="22">
        <v>179121.0</v>
      </c>
      <c r="F28" s="22">
        <v>179121.0</v>
      </c>
      <c r="G28" s="25" t="s">
        <v>151</v>
      </c>
      <c r="H28" s="4">
        <v>46336.0</v>
      </c>
      <c r="I28" s="24">
        <v>179121.0</v>
      </c>
      <c r="J28" s="26" t="b">
        <f t="shared" si="3"/>
        <v>1</v>
      </c>
    </row>
    <row r="29" ht="15.75" customHeight="1">
      <c r="A29" s="18">
        <v>24.0</v>
      </c>
      <c r="B29" s="19" t="s">
        <v>152</v>
      </c>
      <c r="C29" s="20" t="s">
        <v>153</v>
      </c>
      <c r="D29" s="21">
        <v>0.0156</v>
      </c>
      <c r="E29" s="22">
        <v>217590.0</v>
      </c>
      <c r="F29" s="22">
        <v>217590.0</v>
      </c>
      <c r="G29" s="25" t="s">
        <v>154</v>
      </c>
      <c r="H29" s="4">
        <v>46337.0</v>
      </c>
      <c r="I29" s="24">
        <v>217590.0</v>
      </c>
      <c r="J29" s="26" t="b">
        <f t="shared" si="3"/>
        <v>1</v>
      </c>
    </row>
    <row r="30" ht="15.75" customHeight="1">
      <c r="A30" s="18">
        <v>25.0</v>
      </c>
      <c r="B30" s="19" t="s">
        <v>155</v>
      </c>
      <c r="C30" s="20" t="s">
        <v>156</v>
      </c>
      <c r="D30" s="21">
        <v>0.0156</v>
      </c>
      <c r="E30" s="22">
        <v>217590.0</v>
      </c>
      <c r="F30" s="22">
        <v>217590.0</v>
      </c>
      <c r="G30" s="25" t="s">
        <v>157</v>
      </c>
      <c r="H30" s="4">
        <v>46330.0</v>
      </c>
      <c r="I30" s="24">
        <v>217590.0</v>
      </c>
      <c r="J30" s="26" t="b">
        <f t="shared" si="3"/>
        <v>1</v>
      </c>
    </row>
    <row r="31" ht="15.75" customHeight="1">
      <c r="A31" s="18">
        <v>26.0</v>
      </c>
      <c r="B31" s="19" t="s">
        <v>158</v>
      </c>
      <c r="C31" s="20" t="s">
        <v>159</v>
      </c>
      <c r="D31" s="21">
        <v>0.0108</v>
      </c>
      <c r="E31" s="22">
        <v>159887.0</v>
      </c>
      <c r="F31" s="22">
        <v>159887.0</v>
      </c>
      <c r="G31" s="25" t="s">
        <v>160</v>
      </c>
      <c r="H31" s="4">
        <v>46344.0</v>
      </c>
      <c r="I31" s="24">
        <v>159887.0</v>
      </c>
      <c r="J31" s="26" t="b">
        <f t="shared" si="3"/>
        <v>1</v>
      </c>
    </row>
    <row r="32" ht="15.75" customHeight="1">
      <c r="A32" s="18">
        <v>27.0</v>
      </c>
      <c r="B32" s="19" t="s">
        <v>161</v>
      </c>
      <c r="C32" s="20" t="s">
        <v>162</v>
      </c>
      <c r="D32" s="21">
        <v>0.0102</v>
      </c>
      <c r="E32" s="22">
        <v>152674.0</v>
      </c>
      <c r="F32" s="22">
        <v>152674.0</v>
      </c>
      <c r="G32" s="25" t="s">
        <v>163</v>
      </c>
      <c r="H32" s="4">
        <v>46330.0</v>
      </c>
      <c r="I32" s="24">
        <v>152674.0</v>
      </c>
      <c r="J32" s="26" t="b">
        <f t="shared" si="3"/>
        <v>1</v>
      </c>
    </row>
    <row r="33" ht="15.75" customHeight="1">
      <c r="A33" s="18">
        <v>28.0</v>
      </c>
      <c r="B33" s="19" t="s">
        <v>164</v>
      </c>
      <c r="C33" s="20" t="s">
        <v>165</v>
      </c>
      <c r="D33" s="21">
        <v>0.0102</v>
      </c>
      <c r="E33" s="22">
        <v>152674.0</v>
      </c>
      <c r="F33" s="22">
        <v>152674.0</v>
      </c>
      <c r="G33" s="25" t="s">
        <v>166</v>
      </c>
      <c r="H33" s="4">
        <v>46340.0</v>
      </c>
      <c r="I33" s="24">
        <v>152674.0</v>
      </c>
      <c r="J33" s="26" t="b">
        <f t="shared" si="3"/>
        <v>1</v>
      </c>
    </row>
    <row r="34" ht="15.75" customHeight="1">
      <c r="A34" s="18">
        <v>29.0</v>
      </c>
      <c r="B34" s="19" t="s">
        <v>167</v>
      </c>
      <c r="C34" s="20" t="s">
        <v>168</v>
      </c>
      <c r="D34" s="21">
        <v>0.0112</v>
      </c>
      <c r="E34" s="22">
        <v>164695.0</v>
      </c>
      <c r="F34" s="22">
        <v>164695.0</v>
      </c>
      <c r="G34" s="25" t="s">
        <v>169</v>
      </c>
      <c r="H34" s="4">
        <v>46333.0</v>
      </c>
      <c r="I34" s="24">
        <v>164695.0</v>
      </c>
      <c r="J34" s="26" t="b">
        <f t="shared" si="3"/>
        <v>1</v>
      </c>
    </row>
    <row r="35" ht="15.75" customHeight="1">
      <c r="A35" s="18">
        <v>30.0</v>
      </c>
      <c r="B35" s="19" t="s">
        <v>170</v>
      </c>
      <c r="C35" s="20" t="s">
        <v>171</v>
      </c>
      <c r="D35" s="21">
        <v>0.0175</v>
      </c>
      <c r="E35" s="22">
        <v>240431.0</v>
      </c>
      <c r="F35" s="22">
        <v>240431.0</v>
      </c>
      <c r="G35" s="25" t="s">
        <v>172</v>
      </c>
      <c r="H35" s="4">
        <v>46352.0</v>
      </c>
      <c r="I35" s="24">
        <v>240431.0</v>
      </c>
      <c r="J35" s="26" t="b">
        <f t="shared" si="3"/>
        <v>1</v>
      </c>
    </row>
    <row r="36" ht="15.75" customHeight="1">
      <c r="A36" s="18">
        <v>31.0</v>
      </c>
      <c r="B36" s="19" t="s">
        <v>173</v>
      </c>
      <c r="C36" s="20" t="s">
        <v>174</v>
      </c>
      <c r="D36" s="21">
        <v>0.0227</v>
      </c>
      <c r="E36" s="22">
        <v>302944.0</v>
      </c>
      <c r="F36" s="22">
        <v>302944.0</v>
      </c>
      <c r="G36" s="25" t="s">
        <v>175</v>
      </c>
      <c r="H36" s="4">
        <v>46336.0</v>
      </c>
      <c r="I36" s="24">
        <v>302944.0</v>
      </c>
      <c r="J36" s="26" t="b">
        <f t="shared" si="3"/>
        <v>1</v>
      </c>
    </row>
    <row r="37" ht="15.75" customHeight="1">
      <c r="A37" s="18">
        <v>32.0</v>
      </c>
      <c r="B37" s="19" t="s">
        <v>176</v>
      </c>
      <c r="C37" s="20" t="s">
        <v>177</v>
      </c>
      <c r="D37" s="21">
        <v>0.0123</v>
      </c>
      <c r="E37" s="22">
        <v>177919.0</v>
      </c>
      <c r="F37" s="27">
        <v>177919.0</v>
      </c>
      <c r="G37" s="25" t="s">
        <v>178</v>
      </c>
      <c r="I37" s="24">
        <v>177919.0</v>
      </c>
      <c r="J37" s="26" t="b">
        <f t="shared" si="3"/>
        <v>1</v>
      </c>
    </row>
    <row r="38" ht="15.75" customHeight="1">
      <c r="A38" s="18">
        <v>33.0</v>
      </c>
      <c r="B38" s="19" t="s">
        <v>179</v>
      </c>
      <c r="C38" s="20" t="s">
        <v>180</v>
      </c>
      <c r="D38" s="21">
        <v>0.0118</v>
      </c>
      <c r="E38" s="22">
        <v>171908.0</v>
      </c>
      <c r="F38" s="22">
        <v>171908.0</v>
      </c>
      <c r="G38" s="25" t="s">
        <v>181</v>
      </c>
      <c r="H38" s="4">
        <v>46331.0</v>
      </c>
      <c r="I38" s="24">
        <v>171908.0</v>
      </c>
      <c r="J38" s="26" t="b">
        <f t="shared" si="3"/>
        <v>1</v>
      </c>
    </row>
    <row r="39" ht="15.75" customHeight="1">
      <c r="A39" s="18">
        <v>34.0</v>
      </c>
      <c r="B39" s="19" t="s">
        <v>182</v>
      </c>
      <c r="C39" s="20" t="s">
        <v>183</v>
      </c>
      <c r="D39" s="21">
        <v>0.0139</v>
      </c>
      <c r="E39" s="22">
        <v>197154.0</v>
      </c>
      <c r="F39" s="25" t="s">
        <v>184</v>
      </c>
      <c r="G39" s="39">
        <v>197154.0</v>
      </c>
      <c r="I39" s="24"/>
    </row>
    <row r="40" ht="15.75" customHeight="1">
      <c r="A40" s="18">
        <v>35.0</v>
      </c>
      <c r="B40" s="19" t="s">
        <v>185</v>
      </c>
      <c r="C40" s="20" t="s">
        <v>186</v>
      </c>
      <c r="D40" s="21">
        <v>0.0123</v>
      </c>
      <c r="E40" s="22">
        <v>177919.0</v>
      </c>
      <c r="F40" s="27">
        <v>177919.0</v>
      </c>
      <c r="G40" s="25" t="s">
        <v>187</v>
      </c>
      <c r="I40" s="24">
        <v>177919.0</v>
      </c>
      <c r="J40" s="26" t="b">
        <f t="shared" ref="J40:J45" si="4">I40=F40</f>
        <v>1</v>
      </c>
    </row>
    <row r="41" ht="15.75" customHeight="1">
      <c r="A41" s="18">
        <v>36.0</v>
      </c>
      <c r="B41" s="19" t="s">
        <v>188</v>
      </c>
      <c r="C41" s="20" t="s">
        <v>189</v>
      </c>
      <c r="D41" s="21">
        <v>0.0157</v>
      </c>
      <c r="E41" s="22">
        <v>218793.0</v>
      </c>
      <c r="F41" s="22">
        <v>218793.0</v>
      </c>
      <c r="G41" s="25" t="s">
        <v>190</v>
      </c>
      <c r="H41" s="4">
        <v>46330.0</v>
      </c>
      <c r="I41" s="24">
        <v>218793.36</v>
      </c>
      <c r="J41" s="26" t="b">
        <f t="shared" si="4"/>
        <v>0</v>
      </c>
    </row>
    <row r="42" ht="15.75" customHeight="1">
      <c r="A42" s="18">
        <v>37.0</v>
      </c>
      <c r="B42" s="19" t="s">
        <v>191</v>
      </c>
      <c r="C42" s="20" t="s">
        <v>192</v>
      </c>
      <c r="D42" s="21">
        <v>0.0155</v>
      </c>
      <c r="E42" s="22">
        <v>216388.0</v>
      </c>
      <c r="F42" s="22">
        <v>216388.0</v>
      </c>
      <c r="G42" s="25" t="s">
        <v>193</v>
      </c>
      <c r="H42" s="4">
        <v>46336.0</v>
      </c>
      <c r="I42" s="24">
        <v>216388.0</v>
      </c>
      <c r="J42" s="26" t="b">
        <f t="shared" si="4"/>
        <v>1</v>
      </c>
    </row>
    <row r="43" ht="15.75" customHeight="1">
      <c r="A43" s="18">
        <v>38.0</v>
      </c>
      <c r="B43" s="19" t="s">
        <v>194</v>
      </c>
      <c r="C43" s="20" t="s">
        <v>195</v>
      </c>
      <c r="D43" s="21">
        <v>0.0114</v>
      </c>
      <c r="E43" s="22">
        <v>167100.0</v>
      </c>
      <c r="F43" s="22">
        <v>167100.0</v>
      </c>
      <c r="G43" s="25" t="s">
        <v>196</v>
      </c>
      <c r="H43" s="4">
        <v>46333.0</v>
      </c>
      <c r="I43" s="24">
        <v>167100.0</v>
      </c>
      <c r="J43" s="26" t="b">
        <f t="shared" si="4"/>
        <v>1</v>
      </c>
    </row>
    <row r="44" ht="15.75" customHeight="1">
      <c r="A44" s="18">
        <v>39.0</v>
      </c>
      <c r="B44" s="19" t="s">
        <v>197</v>
      </c>
      <c r="C44" s="20" t="s">
        <v>198</v>
      </c>
      <c r="D44" s="21">
        <v>0.0103</v>
      </c>
      <c r="E44" s="22">
        <v>153876.0</v>
      </c>
      <c r="F44" s="27">
        <v>153876.0</v>
      </c>
      <c r="G44" s="25" t="s">
        <v>199</v>
      </c>
      <c r="I44" s="24">
        <v>153876.0</v>
      </c>
      <c r="J44" s="26" t="b">
        <f t="shared" si="4"/>
        <v>1</v>
      </c>
    </row>
    <row r="45" ht="15.75" customHeight="1">
      <c r="A45" s="18">
        <v>40.0</v>
      </c>
      <c r="B45" s="19" t="s">
        <v>200</v>
      </c>
      <c r="C45" s="20" t="s">
        <v>201</v>
      </c>
      <c r="D45" s="21">
        <v>0.0106</v>
      </c>
      <c r="E45" s="22">
        <v>167496.0</v>
      </c>
      <c r="F45" s="22">
        <v>162000.0</v>
      </c>
      <c r="G45" s="39">
        <v>5496.0</v>
      </c>
      <c r="H45" s="4">
        <v>46336.0</v>
      </c>
      <c r="I45" s="24">
        <v>162000.0</v>
      </c>
      <c r="J45" s="26" t="b">
        <f t="shared" si="4"/>
        <v>1</v>
      </c>
    </row>
    <row r="46" ht="15.75" customHeight="1">
      <c r="A46" s="18">
        <v>41.0</v>
      </c>
      <c r="B46" s="19" t="s">
        <v>202</v>
      </c>
      <c r="C46" s="20" t="s">
        <v>203</v>
      </c>
      <c r="D46" s="21">
        <v>0.0108</v>
      </c>
      <c r="E46" s="22">
        <v>492901.0</v>
      </c>
      <c r="F46" s="22">
        <v>317837.0</v>
      </c>
      <c r="G46" s="39">
        <v>175064.0</v>
      </c>
      <c r="I46" s="24"/>
      <c r="J46" s="1" t="s">
        <v>204</v>
      </c>
    </row>
    <row r="47" ht="15.75" customHeight="1">
      <c r="A47" s="18">
        <v>42.0</v>
      </c>
      <c r="B47" s="19" t="s">
        <v>205</v>
      </c>
      <c r="C47" s="20" t="s">
        <v>206</v>
      </c>
      <c r="D47" s="21">
        <v>0.0161</v>
      </c>
      <c r="E47" s="22">
        <v>223601.0</v>
      </c>
      <c r="F47" s="22">
        <v>223601.0</v>
      </c>
      <c r="G47" s="25" t="s">
        <v>207</v>
      </c>
      <c r="H47" s="4">
        <v>46336.0</v>
      </c>
      <c r="I47" s="24">
        <v>223601.0</v>
      </c>
      <c r="J47" s="26" t="b">
        <f t="shared" ref="J47:J51" si="5">I47=F47</f>
        <v>1</v>
      </c>
    </row>
    <row r="48" ht="15.75" customHeight="1">
      <c r="A48" s="18">
        <v>43.0</v>
      </c>
      <c r="B48" s="19" t="s">
        <v>208</v>
      </c>
      <c r="C48" s="20" t="s">
        <v>209</v>
      </c>
      <c r="D48" s="21">
        <v>0.0192</v>
      </c>
      <c r="E48" s="22">
        <v>260424.0</v>
      </c>
      <c r="F48" s="22">
        <v>260500.0</v>
      </c>
      <c r="G48" s="23">
        <v>-76.0</v>
      </c>
      <c r="H48" s="4">
        <v>46343.0</v>
      </c>
      <c r="I48" s="24">
        <v>260500.0</v>
      </c>
      <c r="J48" s="26" t="b">
        <f t="shared" si="5"/>
        <v>1</v>
      </c>
    </row>
    <row r="49" ht="15.75" customHeight="1">
      <c r="A49" s="18">
        <v>44.0</v>
      </c>
      <c r="B49" s="19" t="s">
        <v>210</v>
      </c>
      <c r="C49" s="20" t="s">
        <v>211</v>
      </c>
      <c r="D49" s="21">
        <v>0.0123</v>
      </c>
      <c r="E49" s="22">
        <v>177919.0</v>
      </c>
      <c r="F49" s="27">
        <v>177919.0</v>
      </c>
      <c r="G49" s="23">
        <v>0.0</v>
      </c>
      <c r="H49" s="4"/>
      <c r="I49" s="24">
        <v>177919.0</v>
      </c>
      <c r="J49" s="26" t="b">
        <f t="shared" si="5"/>
        <v>1</v>
      </c>
    </row>
    <row r="50" ht="15.75" customHeight="1">
      <c r="A50" s="18">
        <v>45.0</v>
      </c>
      <c r="B50" s="19" t="s">
        <v>212</v>
      </c>
      <c r="C50" s="20" t="s">
        <v>213</v>
      </c>
      <c r="D50" s="21">
        <v>0.0108</v>
      </c>
      <c r="E50" s="22">
        <v>254826.0</v>
      </c>
      <c r="F50" s="22">
        <v>254826.0</v>
      </c>
      <c r="G50" s="23">
        <v>0.0</v>
      </c>
      <c r="H50" s="4">
        <v>46331.0</v>
      </c>
      <c r="I50" s="24">
        <v>254826.0</v>
      </c>
      <c r="J50" s="26" t="b">
        <f t="shared" si="5"/>
        <v>1</v>
      </c>
    </row>
    <row r="51" ht="15.75" customHeight="1">
      <c r="A51" s="18">
        <v>46.0</v>
      </c>
      <c r="B51" s="19" t="s">
        <v>214</v>
      </c>
      <c r="C51" s="20" t="s">
        <v>215</v>
      </c>
      <c r="D51" s="21">
        <v>0.0119</v>
      </c>
      <c r="E51" s="22">
        <v>173110.0</v>
      </c>
      <c r="F51" s="22">
        <v>173110.0</v>
      </c>
      <c r="G51" s="25" t="s">
        <v>216</v>
      </c>
      <c r="H51" s="4">
        <v>46340.0</v>
      </c>
      <c r="I51" s="24">
        <v>173110.0</v>
      </c>
      <c r="J51" s="26" t="b">
        <f t="shared" si="5"/>
        <v>1</v>
      </c>
    </row>
    <row r="52" ht="15.75" customHeight="1">
      <c r="A52" s="18">
        <v>47.0</v>
      </c>
      <c r="B52" s="19" t="s">
        <v>217</v>
      </c>
      <c r="C52" s="20" t="s">
        <v>218</v>
      </c>
      <c r="D52" s="21">
        <v>0.0138</v>
      </c>
      <c r="E52" s="22">
        <v>195951.0</v>
      </c>
      <c r="F52" s="25" t="s">
        <v>219</v>
      </c>
      <c r="G52" s="39">
        <v>195951.0</v>
      </c>
      <c r="I52" s="24"/>
    </row>
    <row r="53" ht="15.75" customHeight="1">
      <c r="A53" s="18">
        <v>48.0</v>
      </c>
      <c r="B53" s="19" t="s">
        <v>220</v>
      </c>
      <c r="C53" s="20" t="s">
        <v>221</v>
      </c>
      <c r="D53" s="21">
        <v>0.0155</v>
      </c>
      <c r="E53" s="22">
        <v>216388.0</v>
      </c>
      <c r="F53" s="22">
        <v>216388.0</v>
      </c>
      <c r="G53" s="25" t="s">
        <v>222</v>
      </c>
      <c r="H53" s="4">
        <v>46336.0</v>
      </c>
      <c r="I53" s="24">
        <v>216388.0</v>
      </c>
      <c r="J53" s="26" t="b">
        <f t="shared" ref="J53:J55" si="6">I53=F53</f>
        <v>1</v>
      </c>
    </row>
    <row r="54" ht="15.75" customHeight="1">
      <c r="A54" s="18">
        <v>49.0</v>
      </c>
      <c r="B54" s="19" t="s">
        <v>223</v>
      </c>
      <c r="C54" s="20" t="s">
        <v>224</v>
      </c>
      <c r="D54" s="21">
        <v>0.0191</v>
      </c>
      <c r="E54" s="22">
        <v>229663.0</v>
      </c>
      <c r="F54" s="22">
        <v>229663.0</v>
      </c>
      <c r="G54" s="25" t="s">
        <v>225</v>
      </c>
      <c r="H54" s="4">
        <v>46340.0</v>
      </c>
      <c r="I54" s="24">
        <v>229663.0</v>
      </c>
      <c r="J54" s="26" t="b">
        <f t="shared" si="6"/>
        <v>1</v>
      </c>
    </row>
    <row r="55" ht="15.75" customHeight="1">
      <c r="A55" s="18">
        <v>50.0</v>
      </c>
      <c r="B55" s="19" t="s">
        <v>226</v>
      </c>
      <c r="C55" s="20" t="s">
        <v>227</v>
      </c>
      <c r="D55" s="21">
        <v>0.0117</v>
      </c>
      <c r="E55" s="22">
        <v>170706.0</v>
      </c>
      <c r="F55" s="22">
        <v>170706.0</v>
      </c>
      <c r="G55" s="25" t="s">
        <v>228</v>
      </c>
      <c r="H55" s="4">
        <v>46336.0</v>
      </c>
      <c r="I55" s="24">
        <v>170706.0</v>
      </c>
      <c r="J55" s="26" t="b">
        <f t="shared" si="6"/>
        <v>1</v>
      </c>
    </row>
    <row r="56" ht="15.75" customHeight="1">
      <c r="A56" s="18">
        <v>51.0</v>
      </c>
      <c r="B56" s="19" t="s">
        <v>229</v>
      </c>
      <c r="C56" s="20" t="s">
        <v>230</v>
      </c>
      <c r="D56" s="21">
        <v>0.0117</v>
      </c>
      <c r="E56" s="22">
        <v>170706.0</v>
      </c>
      <c r="F56" s="22">
        <v>171000.0</v>
      </c>
      <c r="G56" s="23">
        <v>-294.0</v>
      </c>
      <c r="H56" s="4">
        <v>46346.0</v>
      </c>
      <c r="I56" s="24">
        <f>81000+90000</f>
        <v>171000</v>
      </c>
      <c r="J56" s="1" t="s">
        <v>231</v>
      </c>
      <c r="K56" s="26" t="b">
        <f>I56=F56</f>
        <v>1</v>
      </c>
    </row>
    <row r="57" ht="15.75" customHeight="1">
      <c r="A57" s="18">
        <v>52.0</v>
      </c>
      <c r="B57" s="19" t="s">
        <v>232</v>
      </c>
      <c r="C57" s="20" t="s">
        <v>233</v>
      </c>
      <c r="D57" s="21">
        <v>0.0197</v>
      </c>
      <c r="E57" s="22">
        <v>266879.0</v>
      </c>
      <c r="F57" s="22">
        <v>266879.0</v>
      </c>
      <c r="G57" s="25" t="s">
        <v>234</v>
      </c>
      <c r="H57" s="4">
        <v>46351.0</v>
      </c>
      <c r="I57" s="24">
        <v>266879.0</v>
      </c>
      <c r="J57" s="26" t="b">
        <f t="shared" ref="J57:J58" si="7">I57=F57</f>
        <v>1</v>
      </c>
    </row>
    <row r="58" ht="15.75" customHeight="1">
      <c r="A58" s="18">
        <v>53.0</v>
      </c>
      <c r="B58" s="19" t="s">
        <v>235</v>
      </c>
      <c r="C58" s="20" t="s">
        <v>236</v>
      </c>
      <c r="D58" s="21">
        <v>0.0186</v>
      </c>
      <c r="E58" s="22">
        <v>253655.0</v>
      </c>
      <c r="F58" s="22">
        <v>253655.0</v>
      </c>
      <c r="G58" s="25" t="s">
        <v>237</v>
      </c>
      <c r="H58" s="4">
        <v>46331.0</v>
      </c>
      <c r="I58" s="24">
        <v>253655.0</v>
      </c>
      <c r="J58" s="26" t="b">
        <f t="shared" si="7"/>
        <v>1</v>
      </c>
    </row>
    <row r="59" ht="15.75" customHeight="1">
      <c r="A59" s="18">
        <v>54.0</v>
      </c>
      <c r="B59" s="19" t="s">
        <v>238</v>
      </c>
      <c r="C59" s="20" t="s">
        <v>239</v>
      </c>
      <c r="D59" s="21">
        <v>0.0102</v>
      </c>
      <c r="E59" s="22">
        <v>152674.0</v>
      </c>
      <c r="F59" s="25" t="s">
        <v>240</v>
      </c>
      <c r="G59" s="39">
        <v>152674.0</v>
      </c>
      <c r="I59" s="24"/>
    </row>
    <row r="60" ht="15.75" customHeight="1">
      <c r="A60" s="18">
        <v>55.0</v>
      </c>
      <c r="B60" s="19" t="s">
        <v>241</v>
      </c>
      <c r="C60" s="20" t="s">
        <v>242</v>
      </c>
      <c r="D60" s="21">
        <v>0.0102</v>
      </c>
      <c r="E60" s="22">
        <v>152674.0</v>
      </c>
      <c r="F60" s="27">
        <v>152674.0</v>
      </c>
      <c r="G60" s="25" t="s">
        <v>243</v>
      </c>
      <c r="I60" s="24">
        <v>152674.0</v>
      </c>
      <c r="J60" s="26" t="b">
        <f t="shared" ref="J60:J75" si="8">I60=F60</f>
        <v>1</v>
      </c>
    </row>
    <row r="61" ht="15.75" customHeight="1">
      <c r="A61" s="18">
        <v>56.0</v>
      </c>
      <c r="B61" s="19" t="s">
        <v>244</v>
      </c>
      <c r="C61" s="20" t="s">
        <v>245</v>
      </c>
      <c r="D61" s="21">
        <v>0.0172</v>
      </c>
      <c r="E61" s="22">
        <v>235886.0</v>
      </c>
      <c r="F61" s="22">
        <v>235886.0</v>
      </c>
      <c r="G61" s="25" t="s">
        <v>246</v>
      </c>
      <c r="H61" s="4">
        <v>46340.0</v>
      </c>
      <c r="I61" s="24">
        <v>235886.0</v>
      </c>
      <c r="J61" s="26" t="b">
        <f t="shared" si="8"/>
        <v>1</v>
      </c>
    </row>
    <row r="62" ht="15.75" customHeight="1">
      <c r="A62" s="18">
        <v>57.0</v>
      </c>
      <c r="B62" s="19" t="s">
        <v>247</v>
      </c>
      <c r="C62" s="20" t="s">
        <v>248</v>
      </c>
      <c r="D62" s="21">
        <v>0.0193</v>
      </c>
      <c r="E62" s="22">
        <v>262070.0</v>
      </c>
      <c r="F62" s="22">
        <v>262070.0</v>
      </c>
      <c r="G62" s="25" t="s">
        <v>249</v>
      </c>
      <c r="H62" s="4">
        <v>46330.0</v>
      </c>
      <c r="I62" s="24">
        <v>262070.0</v>
      </c>
      <c r="J62" s="26" t="b">
        <f t="shared" si="8"/>
        <v>1</v>
      </c>
    </row>
    <row r="63" ht="15.75" customHeight="1">
      <c r="A63" s="18">
        <v>58.0</v>
      </c>
      <c r="B63" s="19" t="s">
        <v>250</v>
      </c>
      <c r="C63" s="20" t="s">
        <v>251</v>
      </c>
      <c r="D63" s="21">
        <v>0.0105</v>
      </c>
      <c r="E63" s="22">
        <v>156280.0</v>
      </c>
      <c r="F63" s="22">
        <v>156280.0</v>
      </c>
      <c r="G63" s="25" t="s">
        <v>252</v>
      </c>
      <c r="H63" s="4">
        <v>46340.0</v>
      </c>
      <c r="I63" s="24">
        <v>156280.58</v>
      </c>
      <c r="J63" s="26" t="b">
        <f t="shared" si="8"/>
        <v>0</v>
      </c>
    </row>
    <row r="64" ht="15.75" customHeight="1">
      <c r="A64" s="18">
        <v>59.0</v>
      </c>
      <c r="B64" s="19" t="s">
        <v>253</v>
      </c>
      <c r="C64" s="20" t="s">
        <v>254</v>
      </c>
      <c r="D64" s="21">
        <v>0.0103</v>
      </c>
      <c r="E64" s="22">
        <v>153876.0</v>
      </c>
      <c r="F64" s="22">
        <v>153876.0</v>
      </c>
      <c r="G64" s="25" t="s">
        <v>255</v>
      </c>
      <c r="H64" s="4">
        <v>46346.0</v>
      </c>
      <c r="I64" s="24">
        <v>153876.0</v>
      </c>
      <c r="J64" s="26" t="b">
        <f t="shared" si="8"/>
        <v>1</v>
      </c>
    </row>
    <row r="65" ht="15.75" customHeight="1">
      <c r="A65" s="18">
        <v>60.0</v>
      </c>
      <c r="B65" s="19" t="s">
        <v>256</v>
      </c>
      <c r="C65" s="20" t="s">
        <v>257</v>
      </c>
      <c r="D65" s="21">
        <v>0.0186</v>
      </c>
      <c r="E65" s="22">
        <v>1143726.0</v>
      </c>
      <c r="F65" s="22">
        <v>193559.0</v>
      </c>
      <c r="G65" s="39">
        <v>950167.0</v>
      </c>
      <c r="H65" s="4">
        <v>46331.0</v>
      </c>
      <c r="I65" s="24">
        <v>193559.0</v>
      </c>
      <c r="J65" s="26" t="b">
        <f t="shared" si="8"/>
        <v>1</v>
      </c>
    </row>
    <row r="66" ht="15.75" customHeight="1">
      <c r="A66" s="18">
        <v>61.0</v>
      </c>
      <c r="B66" s="19" t="s">
        <v>258</v>
      </c>
      <c r="C66" s="20" t="s">
        <v>259</v>
      </c>
      <c r="D66" s="21">
        <v>0.0176</v>
      </c>
      <c r="E66" s="22">
        <v>241634.0</v>
      </c>
      <c r="F66" s="22">
        <v>241634.0</v>
      </c>
      <c r="G66" s="25" t="s">
        <v>260</v>
      </c>
      <c r="H66" s="4">
        <v>46339.0</v>
      </c>
      <c r="I66" s="24">
        <v>241634.61</v>
      </c>
      <c r="J66" s="26" t="b">
        <f t="shared" si="8"/>
        <v>0</v>
      </c>
    </row>
    <row r="67" ht="15.75" customHeight="1">
      <c r="A67" s="18">
        <v>62.0</v>
      </c>
      <c r="B67" s="19" t="s">
        <v>261</v>
      </c>
      <c r="C67" s="20" t="s">
        <v>262</v>
      </c>
      <c r="D67" s="21">
        <v>0.0103</v>
      </c>
      <c r="E67" s="22">
        <v>153876.0</v>
      </c>
      <c r="F67" s="22">
        <v>153876.0</v>
      </c>
      <c r="G67" s="25" t="s">
        <v>263</v>
      </c>
      <c r="H67" s="4">
        <v>46339.0</v>
      </c>
      <c r="I67" s="24">
        <v>153876.0</v>
      </c>
      <c r="J67" s="26" t="b">
        <f t="shared" si="8"/>
        <v>1</v>
      </c>
    </row>
    <row r="68" ht="15.75" customHeight="1">
      <c r="A68" s="18">
        <v>63.0</v>
      </c>
      <c r="B68" s="19" t="s">
        <v>264</v>
      </c>
      <c r="C68" s="20" t="s">
        <v>265</v>
      </c>
      <c r="D68" s="21">
        <v>0.0102</v>
      </c>
      <c r="E68" s="22">
        <v>152674.0</v>
      </c>
      <c r="F68" s="27">
        <v>152674.0</v>
      </c>
      <c r="G68" s="25" t="s">
        <v>266</v>
      </c>
      <c r="I68" s="24">
        <v>152674.0</v>
      </c>
      <c r="J68" s="26" t="b">
        <f t="shared" si="8"/>
        <v>1</v>
      </c>
    </row>
    <row r="69" ht="15.75" customHeight="1">
      <c r="A69" s="18">
        <v>64.0</v>
      </c>
      <c r="B69" s="19" t="s">
        <v>267</v>
      </c>
      <c r="C69" s="20" t="s">
        <v>268</v>
      </c>
      <c r="D69" s="21">
        <v>0.0193</v>
      </c>
      <c r="E69" s="22">
        <v>262070.0</v>
      </c>
      <c r="F69" s="22">
        <v>262070.0</v>
      </c>
      <c r="G69" s="25" t="s">
        <v>269</v>
      </c>
      <c r="H69" s="4">
        <v>46333.0</v>
      </c>
      <c r="I69" s="24">
        <v>262070.64</v>
      </c>
      <c r="J69" s="26" t="b">
        <f t="shared" si="8"/>
        <v>0</v>
      </c>
    </row>
    <row r="70" ht="15.75" customHeight="1">
      <c r="A70" s="18">
        <v>65.0</v>
      </c>
      <c r="B70" s="19" t="s">
        <v>270</v>
      </c>
      <c r="C70" s="20" t="s">
        <v>271</v>
      </c>
      <c r="D70" s="21">
        <v>0.0173</v>
      </c>
      <c r="E70" s="22">
        <v>238027.0</v>
      </c>
      <c r="F70" s="22">
        <v>238027.0</v>
      </c>
      <c r="G70" s="25" t="s">
        <v>272</v>
      </c>
      <c r="H70" s="4">
        <v>46330.0</v>
      </c>
      <c r="I70" s="24">
        <v>238027.65</v>
      </c>
      <c r="J70" s="26" t="b">
        <f t="shared" si="8"/>
        <v>0</v>
      </c>
    </row>
    <row r="71" ht="15.75" customHeight="1">
      <c r="A71" s="18">
        <v>66.0</v>
      </c>
      <c r="B71" s="19" t="s">
        <v>273</v>
      </c>
      <c r="C71" s="20" t="s">
        <v>274</v>
      </c>
      <c r="D71" s="21">
        <v>0.0102</v>
      </c>
      <c r="E71" s="22">
        <v>152674.0</v>
      </c>
      <c r="F71" s="27">
        <v>152674.0</v>
      </c>
      <c r="G71" s="25" t="s">
        <v>275</v>
      </c>
      <c r="I71" s="24">
        <v>152674.0</v>
      </c>
      <c r="J71" s="26" t="b">
        <f t="shared" si="8"/>
        <v>1</v>
      </c>
    </row>
    <row r="72" ht="15.75" customHeight="1">
      <c r="A72" s="18">
        <v>67.0</v>
      </c>
      <c r="B72" s="19" t="s">
        <v>276</v>
      </c>
      <c r="C72" s="20" t="s">
        <v>277</v>
      </c>
      <c r="D72" s="21">
        <v>0.0102</v>
      </c>
      <c r="E72" s="22">
        <v>152674.0</v>
      </c>
      <c r="F72" s="22">
        <v>152674.0</v>
      </c>
      <c r="G72" s="25" t="s">
        <v>278</v>
      </c>
      <c r="H72" s="4">
        <v>46339.0</v>
      </c>
      <c r="I72" s="24">
        <v>152674.0</v>
      </c>
      <c r="J72" s="26" t="b">
        <f t="shared" si="8"/>
        <v>1</v>
      </c>
    </row>
    <row r="73" ht="15.75" customHeight="1">
      <c r="A73" s="18">
        <v>68.0</v>
      </c>
      <c r="B73" s="19" t="s">
        <v>279</v>
      </c>
      <c r="C73" s="20" t="s">
        <v>280</v>
      </c>
      <c r="D73" s="21">
        <v>0.0169</v>
      </c>
      <c r="E73" s="22">
        <v>233219.0</v>
      </c>
      <c r="F73" s="22">
        <v>233219.0</v>
      </c>
      <c r="G73" s="25" t="s">
        <v>281</v>
      </c>
      <c r="H73" s="4">
        <v>46331.0</v>
      </c>
      <c r="I73" s="24">
        <v>233219.0</v>
      </c>
      <c r="J73" s="26" t="b">
        <f t="shared" si="8"/>
        <v>1</v>
      </c>
    </row>
    <row r="74" ht="15.75" customHeight="1">
      <c r="A74" s="18">
        <v>69.0</v>
      </c>
      <c r="B74" s="19" t="s">
        <v>282</v>
      </c>
      <c r="C74" s="20" t="s">
        <v>283</v>
      </c>
      <c r="D74" s="21">
        <v>0.0413</v>
      </c>
      <c r="E74" s="22">
        <v>526546.0</v>
      </c>
      <c r="F74" s="22">
        <v>526546.0</v>
      </c>
      <c r="G74" s="25" t="s">
        <v>284</v>
      </c>
      <c r="H74" s="4">
        <v>46333.0</v>
      </c>
      <c r="I74" s="24">
        <v>526546.0</v>
      </c>
      <c r="J74" s="26" t="b">
        <f t="shared" si="8"/>
        <v>1</v>
      </c>
    </row>
    <row r="75" ht="15.75" customHeight="1">
      <c r="A75" s="18">
        <v>70.0</v>
      </c>
      <c r="B75" s="19" t="s">
        <v>285</v>
      </c>
      <c r="C75" s="20" t="s">
        <v>286</v>
      </c>
      <c r="D75" s="21">
        <v>0.0413</v>
      </c>
      <c r="E75" s="22">
        <v>526546.0</v>
      </c>
      <c r="F75" s="22">
        <v>526546.0</v>
      </c>
      <c r="G75" s="25" t="s">
        <v>287</v>
      </c>
      <c r="H75" s="4">
        <v>46336.0</v>
      </c>
      <c r="I75" s="24">
        <v>526546.0</v>
      </c>
      <c r="J75" s="26" t="b">
        <f t="shared" si="8"/>
        <v>1</v>
      </c>
    </row>
    <row r="76" ht="15.75" customHeight="1">
      <c r="A76" s="49"/>
      <c r="B76" s="50"/>
      <c r="C76" s="16" t="s">
        <v>288</v>
      </c>
      <c r="D76" s="51">
        <v>0.9979</v>
      </c>
      <c r="E76" s="52">
        <v>1.5799864E7</v>
      </c>
      <c r="F76" s="52">
        <v>1.3688744E7</v>
      </c>
      <c r="G76" s="52">
        <v>2111120.0</v>
      </c>
      <c r="I76" s="24">
        <f>SUM(I6:I75)</f>
        <v>13370909.92</v>
      </c>
    </row>
    <row r="77" ht="15.75" customHeight="1">
      <c r="H77" s="1" t="s">
        <v>289</v>
      </c>
      <c r="I77" s="1">
        <v>1.354304892E7</v>
      </c>
    </row>
    <row r="78" ht="15.75" customHeight="1">
      <c r="A78" s="53" t="s">
        <v>290</v>
      </c>
      <c r="H78" s="1" t="s">
        <v>291</v>
      </c>
      <c r="I78" s="24">
        <f>I77-I76</f>
        <v>172139</v>
      </c>
      <c r="J78" s="1" t="s">
        <v>292</v>
      </c>
    </row>
    <row r="79" ht="15.75" customHeight="1"/>
    <row r="80" ht="15.75" customHeight="1">
      <c r="A80" s="54" t="s">
        <v>293</v>
      </c>
      <c r="B80" s="54" t="s">
        <v>294</v>
      </c>
      <c r="C80" s="55" t="s">
        <v>295</v>
      </c>
      <c r="D80" s="54" t="s">
        <v>296</v>
      </c>
    </row>
    <row r="81" ht="15.75" customHeight="1">
      <c r="A81" s="56">
        <v>7.0</v>
      </c>
      <c r="B81" s="57" t="s">
        <v>297</v>
      </c>
      <c r="C81" s="58" t="s">
        <v>298</v>
      </c>
      <c r="D81" s="59">
        <v>260383.0</v>
      </c>
    </row>
    <row r="82" ht="15.75" customHeight="1">
      <c r="A82" s="56">
        <v>19.0</v>
      </c>
      <c r="B82" s="57" t="s">
        <v>299</v>
      </c>
      <c r="C82" s="58" t="s">
        <v>300</v>
      </c>
      <c r="D82" s="59">
        <v>20639.0</v>
      </c>
    </row>
    <row r="83" ht="15.75" customHeight="1">
      <c r="A83" s="56">
        <v>21.0</v>
      </c>
      <c r="B83" s="57" t="s">
        <v>301</v>
      </c>
      <c r="C83" s="58" t="s">
        <v>302</v>
      </c>
      <c r="D83" s="59">
        <v>185747.0</v>
      </c>
    </row>
    <row r="84" ht="15.75" customHeight="1">
      <c r="A84" s="56">
        <v>34.0</v>
      </c>
      <c r="B84" s="57" t="s">
        <v>303</v>
      </c>
      <c r="C84" s="58" t="s">
        <v>304</v>
      </c>
      <c r="D84" s="59">
        <v>211546.0</v>
      </c>
    </row>
    <row r="85" ht="15.75" customHeight="1">
      <c r="A85" s="56">
        <v>40.0</v>
      </c>
      <c r="B85" s="57" t="s">
        <v>305</v>
      </c>
      <c r="C85" s="58" t="s">
        <v>306</v>
      </c>
      <c r="D85" s="59">
        <v>5897.0</v>
      </c>
    </row>
    <row r="86" ht="15.75" customHeight="1">
      <c r="A86" s="56">
        <v>41.0</v>
      </c>
      <c r="B86" s="57" t="s">
        <v>307</v>
      </c>
      <c r="C86" s="58" t="s">
        <v>308</v>
      </c>
      <c r="D86" s="59">
        <v>187843.0</v>
      </c>
    </row>
    <row r="87" ht="15.75" customHeight="1">
      <c r="A87" s="56">
        <v>47.0</v>
      </c>
      <c r="B87" s="57" t="s">
        <v>309</v>
      </c>
      <c r="C87" s="58" t="s">
        <v>310</v>
      </c>
      <c r="D87" s="59">
        <v>210256.0</v>
      </c>
    </row>
    <row r="88" ht="15.75" customHeight="1">
      <c r="A88" s="56">
        <v>54.0</v>
      </c>
      <c r="B88" s="57" t="s">
        <v>311</v>
      </c>
      <c r="C88" s="58" t="s">
        <v>312</v>
      </c>
      <c r="D88" s="59">
        <v>163819.0</v>
      </c>
    </row>
    <row r="89" ht="15.75" customHeight="1">
      <c r="A89" s="56">
        <v>60.0</v>
      </c>
      <c r="B89" s="57" t="s">
        <v>313</v>
      </c>
      <c r="C89" s="58" t="s">
        <v>314</v>
      </c>
      <c r="D89" s="59">
        <v>1019529.0</v>
      </c>
    </row>
    <row r="90" ht="15.75" customHeight="1">
      <c r="A90" s="49"/>
      <c r="B90" s="50"/>
      <c r="C90" s="54" t="s">
        <v>315</v>
      </c>
      <c r="D90" s="60">
        <v>2265660.0</v>
      </c>
    </row>
    <row r="91" ht="15.75" customHeight="1"/>
    <row r="92" ht="15.75" customHeight="1">
      <c r="A92" s="61" t="s">
        <v>316</v>
      </c>
    </row>
    <row r="93" ht="15.75" customHeight="1">
      <c r="A93" s="62" t="s">
        <v>317</v>
      </c>
      <c r="B93" s="63"/>
      <c r="C93" s="63"/>
      <c r="D93" s="64"/>
      <c r="E93" s="65" t="s">
        <v>318</v>
      </c>
      <c r="F93" s="66"/>
      <c r="G93" s="66"/>
      <c r="H93" s="66"/>
      <c r="I93" s="67" t="s">
        <v>319</v>
      </c>
      <c r="J93" s="1" t="s">
        <v>320</v>
      </c>
      <c r="K93" s="1" t="s">
        <v>321</v>
      </c>
    </row>
    <row r="94" ht="15.75" customHeight="1">
      <c r="A94" s="68" t="s">
        <v>322</v>
      </c>
      <c r="B94" s="69"/>
      <c r="C94" s="69"/>
      <c r="D94" s="50"/>
      <c r="E94" s="70"/>
      <c r="F94" s="70"/>
      <c r="G94" s="70"/>
      <c r="H94" s="70"/>
      <c r="I94" s="71"/>
    </row>
    <row r="95" ht="15.75" customHeight="1">
      <c r="A95" s="72" t="s">
        <v>323</v>
      </c>
      <c r="B95" s="73"/>
      <c r="C95" s="73"/>
      <c r="D95" s="74"/>
      <c r="E95" s="75"/>
      <c r="F95" s="75"/>
      <c r="G95" s="75"/>
      <c r="H95" s="75"/>
      <c r="I95" s="76"/>
    </row>
    <row r="96" ht="15.75" customHeight="1">
      <c r="A96" s="77"/>
      <c r="B96" s="64"/>
      <c r="C96" s="77"/>
      <c r="D96" s="64"/>
      <c r="E96" s="78"/>
      <c r="F96" s="78"/>
      <c r="G96" s="78"/>
      <c r="H96" s="78"/>
      <c r="I96" s="76"/>
    </row>
    <row r="97" ht="15.75" customHeight="1">
      <c r="A97" s="79" t="s">
        <v>324</v>
      </c>
      <c r="B97" s="64"/>
      <c r="C97" s="80">
        <v>839761.7</v>
      </c>
      <c r="D97" s="78"/>
      <c r="E97" s="78"/>
      <c r="F97" s="78"/>
      <c r="G97" s="78"/>
      <c r="H97" s="78"/>
      <c r="I97" s="76"/>
    </row>
    <row r="98" ht="15.75" customHeight="1">
      <c r="A98" s="79" t="s">
        <v>325</v>
      </c>
      <c r="B98" s="64"/>
      <c r="C98" s="80">
        <v>208492.8</v>
      </c>
      <c r="D98" s="78"/>
      <c r="E98" s="78"/>
      <c r="F98" s="78"/>
      <c r="G98" s="78"/>
      <c r="H98" s="78"/>
      <c r="I98" s="76"/>
    </row>
    <row r="99" ht="15.75" customHeight="1">
      <c r="A99" s="79" t="s">
        <v>326</v>
      </c>
      <c r="B99" s="64"/>
      <c r="C99" s="80">
        <v>50000.0</v>
      </c>
      <c r="D99" s="78"/>
      <c r="E99" s="78"/>
      <c r="F99" s="78"/>
      <c r="G99" s="78"/>
      <c r="H99" s="78"/>
      <c r="I99" s="76"/>
    </row>
    <row r="100" ht="15.75" customHeight="1">
      <c r="A100" s="79" t="s">
        <v>327</v>
      </c>
      <c r="B100" s="64"/>
      <c r="C100" s="80">
        <v>34748.76</v>
      </c>
      <c r="D100" s="78"/>
      <c r="E100" s="78"/>
      <c r="F100" s="78"/>
      <c r="G100" s="78"/>
      <c r="H100" s="78"/>
      <c r="I100" s="76"/>
    </row>
    <row r="101" ht="15.75" customHeight="1">
      <c r="A101" s="79" t="s">
        <v>328</v>
      </c>
      <c r="B101" s="64"/>
      <c r="C101" s="80">
        <v>110936.0</v>
      </c>
      <c r="D101" s="78"/>
      <c r="E101" s="78"/>
      <c r="F101" s="78"/>
      <c r="G101" s="78"/>
      <c r="H101" s="78"/>
      <c r="I101" s="76"/>
    </row>
    <row r="102" ht="15.75" customHeight="1">
      <c r="A102" s="79" t="s">
        <v>329</v>
      </c>
      <c r="B102" s="64"/>
      <c r="C102" s="80">
        <v>21627.4</v>
      </c>
      <c r="D102" s="78"/>
      <c r="E102" s="78"/>
      <c r="F102" s="78"/>
      <c r="G102" s="78"/>
      <c r="H102" s="78"/>
      <c r="I102" s="76"/>
    </row>
    <row r="103" ht="15.75" customHeight="1">
      <c r="A103" s="79" t="s">
        <v>330</v>
      </c>
      <c r="B103" s="64"/>
      <c r="C103" s="80">
        <v>21627.4</v>
      </c>
      <c r="D103" s="78"/>
      <c r="E103" s="78"/>
      <c r="F103" s="78"/>
      <c r="G103" s="78"/>
      <c r="H103" s="78"/>
      <c r="I103" s="76"/>
    </row>
    <row r="104" ht="15.75" customHeight="1">
      <c r="A104" s="79" t="s">
        <v>331</v>
      </c>
      <c r="B104" s="64"/>
      <c r="C104" s="80">
        <v>60810.3</v>
      </c>
      <c r="D104" s="78"/>
      <c r="E104" s="78"/>
      <c r="F104" s="78"/>
      <c r="G104" s="78"/>
      <c r="H104" s="78"/>
      <c r="I104" s="76"/>
    </row>
    <row r="105" ht="15.75" customHeight="1">
      <c r="A105" s="79" t="s">
        <v>332</v>
      </c>
      <c r="B105" s="64"/>
      <c r="C105" s="78"/>
      <c r="D105" s="80">
        <v>148280.48</v>
      </c>
      <c r="E105" s="78"/>
      <c r="F105" s="78"/>
      <c r="G105" s="78"/>
      <c r="H105" s="78"/>
      <c r="I105" s="76"/>
    </row>
    <row r="106" ht="15.75" customHeight="1">
      <c r="A106" s="81" t="s">
        <v>333</v>
      </c>
      <c r="B106" s="82"/>
      <c r="C106" s="78"/>
      <c r="D106" s="80">
        <v>40440.13</v>
      </c>
      <c r="E106" s="78"/>
      <c r="F106" s="78"/>
      <c r="G106" s="78"/>
      <c r="H106" s="78"/>
      <c r="I106" s="76"/>
    </row>
    <row r="107" ht="15.75" customHeight="1">
      <c r="A107" s="79" t="s">
        <v>334</v>
      </c>
      <c r="B107" s="64"/>
      <c r="C107" s="78"/>
      <c r="D107" s="80">
        <v>40440.13</v>
      </c>
      <c r="E107" s="78"/>
      <c r="F107" s="78"/>
      <c r="G107" s="78"/>
      <c r="H107" s="78"/>
      <c r="I107" s="76"/>
    </row>
    <row r="108" ht="15.75" customHeight="1">
      <c r="A108" s="79" t="s">
        <v>335</v>
      </c>
      <c r="B108" s="64"/>
      <c r="C108" s="78"/>
      <c r="D108" s="80">
        <v>13480.04</v>
      </c>
      <c r="E108" s="78"/>
      <c r="F108" s="78"/>
      <c r="G108" s="78"/>
      <c r="H108" s="78"/>
      <c r="I108" s="76"/>
    </row>
    <row r="109" ht="15.75" customHeight="1">
      <c r="A109" s="79" t="s">
        <v>336</v>
      </c>
      <c r="B109" s="64"/>
      <c r="C109" s="78"/>
      <c r="D109" s="80">
        <v>13480.04</v>
      </c>
      <c r="E109" s="78"/>
      <c r="F109" s="78"/>
      <c r="G109" s="78"/>
      <c r="H109" s="78"/>
      <c r="I109" s="76"/>
    </row>
    <row r="110" ht="15.75" customHeight="1">
      <c r="A110" s="79" t="s">
        <v>337</v>
      </c>
      <c r="B110" s="64"/>
      <c r="C110" s="78"/>
      <c r="D110" s="80">
        <v>26960.09</v>
      </c>
      <c r="E110" s="78"/>
      <c r="F110" s="78"/>
      <c r="G110" s="78"/>
      <c r="H110" s="78"/>
      <c r="I110" s="76"/>
    </row>
    <row r="111" ht="15.75" customHeight="1">
      <c r="A111" s="79" t="s">
        <v>338</v>
      </c>
      <c r="B111" s="64"/>
      <c r="C111" s="78"/>
      <c r="D111" s="80">
        <v>10110.03</v>
      </c>
      <c r="E111" s="78"/>
      <c r="F111" s="78"/>
      <c r="G111" s="78"/>
      <c r="H111" s="78"/>
      <c r="I111" s="76"/>
    </row>
    <row r="112" ht="15.75" customHeight="1">
      <c r="A112" s="79" t="s">
        <v>339</v>
      </c>
      <c r="B112" s="64"/>
      <c r="C112" s="80">
        <v>1348004.36</v>
      </c>
      <c r="D112" s="80">
        <v>293190.95</v>
      </c>
      <c r="E112" s="83">
        <v>1054813.41</v>
      </c>
      <c r="F112" s="78"/>
      <c r="G112" s="78"/>
      <c r="H112" s="78"/>
      <c r="I112" s="76"/>
      <c r="J112" s="4">
        <v>46331.0</v>
      </c>
      <c r="K112" s="33">
        <v>1113138.15</v>
      </c>
      <c r="M112" s="84" t="s">
        <v>340</v>
      </c>
    </row>
    <row r="113" ht="15.75" customHeight="1">
      <c r="A113" s="77"/>
      <c r="B113" s="63"/>
      <c r="C113" s="63"/>
      <c r="D113" s="64"/>
      <c r="E113" s="78"/>
      <c r="F113" s="78"/>
      <c r="G113" s="78"/>
      <c r="H113" s="78"/>
      <c r="I113" s="76"/>
    </row>
    <row r="114" ht="15.75" customHeight="1">
      <c r="A114" s="68" t="s">
        <v>341</v>
      </c>
      <c r="B114" s="69"/>
      <c r="C114" s="69"/>
      <c r="D114" s="50"/>
      <c r="E114" s="70"/>
      <c r="F114" s="70"/>
      <c r="G114" s="70"/>
      <c r="H114" s="70"/>
      <c r="I114" s="76"/>
    </row>
    <row r="115" ht="15.75" customHeight="1">
      <c r="A115" s="72" t="s">
        <v>342</v>
      </c>
      <c r="B115" s="73"/>
      <c r="C115" s="73"/>
      <c r="D115" s="74"/>
      <c r="E115" s="75"/>
      <c r="F115" s="75"/>
      <c r="G115" s="75"/>
      <c r="H115" s="75"/>
      <c r="I115" s="76"/>
    </row>
    <row r="116" ht="15.75" customHeight="1">
      <c r="A116" s="77"/>
      <c r="B116" s="64"/>
      <c r="C116" s="77"/>
      <c r="D116" s="64"/>
      <c r="E116" s="78"/>
      <c r="F116" s="78"/>
      <c r="G116" s="78"/>
      <c r="H116" s="78"/>
      <c r="I116" s="76"/>
    </row>
    <row r="117" ht="15.75" customHeight="1">
      <c r="A117" s="79" t="s">
        <v>343</v>
      </c>
      <c r="B117" s="64"/>
      <c r="C117" s="80">
        <v>442075.03</v>
      </c>
      <c r="D117" s="78"/>
      <c r="E117" s="78"/>
      <c r="F117" s="78"/>
      <c r="G117" s="78"/>
      <c r="H117" s="78"/>
      <c r="I117" s="76"/>
    </row>
    <row r="118" ht="15.75" customHeight="1">
      <c r="A118" s="79" t="s">
        <v>344</v>
      </c>
      <c r="B118" s="64"/>
      <c r="C118" s="80">
        <v>208492.8</v>
      </c>
      <c r="D118" s="78"/>
      <c r="E118" s="78"/>
      <c r="F118" s="78"/>
      <c r="G118" s="78"/>
      <c r="H118" s="78"/>
      <c r="I118" s="76"/>
    </row>
    <row r="119" ht="15.75" customHeight="1">
      <c r="A119" s="79" t="s">
        <v>345</v>
      </c>
      <c r="B119" s="64"/>
      <c r="C119" s="80">
        <v>50000.0</v>
      </c>
      <c r="D119" s="78"/>
      <c r="E119" s="78"/>
      <c r="F119" s="78"/>
      <c r="G119" s="78"/>
      <c r="H119" s="78"/>
      <c r="I119" s="76"/>
    </row>
    <row r="120" ht="15.75" customHeight="1">
      <c r="A120" s="79" t="s">
        <v>346</v>
      </c>
      <c r="B120" s="64"/>
      <c r="C120" s="80">
        <v>55468.0</v>
      </c>
      <c r="D120" s="78"/>
      <c r="E120" s="78"/>
      <c r="F120" s="78"/>
      <c r="G120" s="78"/>
      <c r="H120" s="78"/>
      <c r="I120" s="76"/>
    </row>
    <row r="121" ht="15.75" customHeight="1">
      <c r="A121" s="79" t="s">
        <v>347</v>
      </c>
      <c r="B121" s="64"/>
      <c r="C121" s="80">
        <v>21627.4</v>
      </c>
      <c r="D121" s="78"/>
      <c r="E121" s="78"/>
      <c r="F121" s="78"/>
      <c r="G121" s="78"/>
      <c r="H121" s="78"/>
      <c r="I121" s="76"/>
    </row>
    <row r="122" ht="15.75" customHeight="1">
      <c r="A122" s="79" t="s">
        <v>348</v>
      </c>
      <c r="B122" s="64"/>
      <c r="C122" s="80">
        <v>21627.4</v>
      </c>
      <c r="D122" s="78"/>
      <c r="E122" s="78"/>
      <c r="F122" s="78"/>
      <c r="G122" s="78"/>
      <c r="H122" s="78"/>
      <c r="I122" s="76"/>
    </row>
    <row r="123" ht="15.75" customHeight="1">
      <c r="A123" s="79" t="s">
        <v>349</v>
      </c>
      <c r="B123" s="64"/>
      <c r="C123" s="80">
        <v>18292.76</v>
      </c>
      <c r="D123" s="78"/>
      <c r="E123" s="78"/>
      <c r="F123" s="78"/>
      <c r="G123" s="78"/>
      <c r="H123" s="78"/>
      <c r="I123" s="76"/>
    </row>
    <row r="124" ht="15.75" customHeight="1">
      <c r="A124" s="79" t="s">
        <v>350</v>
      </c>
      <c r="B124" s="64"/>
      <c r="C124" s="80">
        <v>60810.3</v>
      </c>
      <c r="D124" s="78"/>
      <c r="E124" s="78"/>
      <c r="F124" s="78"/>
      <c r="G124" s="78"/>
      <c r="H124" s="78"/>
      <c r="I124" s="76"/>
    </row>
    <row r="125" ht="15.75" customHeight="1">
      <c r="A125" s="79" t="s">
        <v>351</v>
      </c>
      <c r="B125" s="64"/>
      <c r="C125" s="78"/>
      <c r="D125" s="80">
        <v>96623.31</v>
      </c>
      <c r="E125" s="78"/>
      <c r="F125" s="78"/>
      <c r="G125" s="78"/>
      <c r="H125" s="78"/>
      <c r="I125" s="76"/>
    </row>
    <row r="126" ht="15.75" customHeight="1">
      <c r="A126" s="81" t="s">
        <v>352</v>
      </c>
      <c r="B126" s="82"/>
      <c r="C126" s="78"/>
      <c r="D126" s="80">
        <v>26351.81</v>
      </c>
      <c r="E126" s="78"/>
      <c r="F126" s="78"/>
      <c r="G126" s="78"/>
      <c r="H126" s="78"/>
      <c r="I126" s="76"/>
    </row>
    <row r="127" ht="15.75" customHeight="1">
      <c r="A127" s="79" t="s">
        <v>353</v>
      </c>
      <c r="B127" s="64"/>
      <c r="C127" s="78"/>
      <c r="D127" s="80">
        <v>51203.62</v>
      </c>
      <c r="E127" s="78"/>
      <c r="F127" s="78"/>
      <c r="G127" s="78"/>
      <c r="H127" s="78"/>
      <c r="I127" s="76"/>
    </row>
    <row r="128" ht="15.75" customHeight="1">
      <c r="A128" s="79" t="s">
        <v>354</v>
      </c>
      <c r="B128" s="64"/>
      <c r="C128" s="78"/>
      <c r="D128" s="80">
        <v>8783.94</v>
      </c>
      <c r="E128" s="78"/>
      <c r="F128" s="78"/>
      <c r="G128" s="78"/>
      <c r="H128" s="78"/>
      <c r="I128" s="76"/>
    </row>
    <row r="129" ht="15.75" customHeight="1">
      <c r="A129" s="79" t="s">
        <v>355</v>
      </c>
      <c r="B129" s="64"/>
      <c r="C129" s="78"/>
      <c r="D129" s="80">
        <v>8783.94</v>
      </c>
      <c r="E129" s="78"/>
      <c r="F129" s="78"/>
      <c r="G129" s="78"/>
      <c r="H129" s="78"/>
      <c r="I129" s="76"/>
    </row>
    <row r="130" ht="15.75" customHeight="1">
      <c r="A130" s="79" t="s">
        <v>356</v>
      </c>
      <c r="B130" s="64"/>
      <c r="C130" s="78"/>
      <c r="D130" s="80">
        <v>17567.87</v>
      </c>
      <c r="E130" s="78"/>
      <c r="F130" s="78"/>
      <c r="G130" s="78"/>
      <c r="H130" s="78"/>
      <c r="I130" s="76"/>
    </row>
    <row r="131" ht="15.75" customHeight="1">
      <c r="A131" s="79" t="s">
        <v>357</v>
      </c>
      <c r="B131" s="64"/>
      <c r="C131" s="78"/>
      <c r="D131" s="80">
        <v>6587.95</v>
      </c>
      <c r="E131" s="78"/>
      <c r="F131" s="78"/>
      <c r="G131" s="78"/>
      <c r="H131" s="78"/>
      <c r="I131" s="76"/>
    </row>
    <row r="132" ht="15.75" customHeight="1">
      <c r="A132" s="79" t="s">
        <v>358</v>
      </c>
      <c r="B132" s="64"/>
      <c r="C132" s="80">
        <v>878393.69</v>
      </c>
      <c r="D132" s="80">
        <v>215902.44</v>
      </c>
      <c r="E132" s="85">
        <v>662491.25</v>
      </c>
      <c r="F132" s="78"/>
      <c r="G132" s="78"/>
      <c r="H132" s="78"/>
      <c r="I132" s="76"/>
      <c r="J132" s="4">
        <v>46331.0</v>
      </c>
      <c r="K132" s="33">
        <v>711627.9</v>
      </c>
      <c r="M132" s="84" t="s">
        <v>359</v>
      </c>
    </row>
    <row r="133" ht="15.75" customHeight="1">
      <c r="A133" s="77"/>
      <c r="B133" s="63"/>
      <c r="C133" s="63"/>
      <c r="D133" s="64"/>
      <c r="E133" s="78"/>
      <c r="F133" s="78"/>
      <c r="G133" s="78"/>
      <c r="H133" s="78"/>
      <c r="I133" s="76"/>
    </row>
    <row r="134" ht="15.75" customHeight="1">
      <c r="A134" s="68" t="s">
        <v>360</v>
      </c>
      <c r="B134" s="69"/>
      <c r="C134" s="69"/>
      <c r="D134" s="50"/>
      <c r="E134" s="70"/>
      <c r="F134" s="70"/>
      <c r="G134" s="70"/>
      <c r="H134" s="70"/>
      <c r="I134" s="76"/>
    </row>
    <row r="135" ht="15.75" customHeight="1">
      <c r="A135" s="72" t="s">
        <v>361</v>
      </c>
      <c r="B135" s="73"/>
      <c r="C135" s="73"/>
      <c r="D135" s="74"/>
      <c r="E135" s="75"/>
      <c r="F135" s="75"/>
      <c r="G135" s="75"/>
      <c r="H135" s="75"/>
      <c r="I135" s="76"/>
    </row>
    <row r="136" ht="15.75" customHeight="1">
      <c r="A136" s="77"/>
      <c r="B136" s="64"/>
      <c r="C136" s="77"/>
      <c r="D136" s="64"/>
      <c r="E136" s="78"/>
      <c r="F136" s="78"/>
      <c r="G136" s="78"/>
      <c r="H136" s="78"/>
      <c r="I136" s="76"/>
    </row>
    <row r="137" ht="15.75" customHeight="1">
      <c r="A137" s="79" t="s">
        <v>362</v>
      </c>
      <c r="B137" s="64"/>
      <c r="C137" s="80">
        <v>670925.32</v>
      </c>
      <c r="D137" s="78"/>
      <c r="E137" s="78"/>
      <c r="F137" s="78"/>
      <c r="G137" s="78"/>
      <c r="H137" s="78"/>
      <c r="I137" s="76"/>
    </row>
    <row r="138" ht="15.75" customHeight="1">
      <c r="A138" s="79" t="s">
        <v>363</v>
      </c>
      <c r="B138" s="64"/>
      <c r="C138" s="80">
        <v>68403.2</v>
      </c>
      <c r="D138" s="78"/>
      <c r="E138" s="78"/>
      <c r="F138" s="78"/>
      <c r="G138" s="78"/>
      <c r="H138" s="78"/>
      <c r="I138" s="76"/>
    </row>
    <row r="139" ht="15.75" customHeight="1">
      <c r="A139" s="79" t="s">
        <v>364</v>
      </c>
      <c r="B139" s="64"/>
      <c r="C139" s="80">
        <v>50000.0</v>
      </c>
      <c r="D139" s="78"/>
      <c r="E139" s="78"/>
      <c r="F139" s="78"/>
      <c r="G139" s="78"/>
      <c r="H139" s="78"/>
      <c r="I139" s="76"/>
    </row>
    <row r="140" ht="15.75" customHeight="1">
      <c r="A140" s="79" t="s">
        <v>365</v>
      </c>
      <c r="B140" s="64"/>
      <c r="C140" s="80">
        <v>27731.58</v>
      </c>
      <c r="D140" s="78"/>
      <c r="E140" s="78"/>
      <c r="F140" s="78"/>
      <c r="G140" s="78"/>
      <c r="H140" s="78"/>
      <c r="I140" s="76"/>
    </row>
    <row r="141" ht="15.75" customHeight="1">
      <c r="A141" s="79" t="s">
        <v>366</v>
      </c>
      <c r="B141" s="64"/>
      <c r="C141" s="80">
        <v>27731.58</v>
      </c>
      <c r="D141" s="78"/>
      <c r="E141" s="78"/>
      <c r="F141" s="78"/>
      <c r="G141" s="78"/>
      <c r="H141" s="78"/>
      <c r="I141" s="76"/>
    </row>
    <row r="142" ht="15.75" customHeight="1">
      <c r="A142" s="79" t="s">
        <v>367</v>
      </c>
      <c r="B142" s="64"/>
      <c r="C142" s="80">
        <v>119705.4</v>
      </c>
      <c r="D142" s="78"/>
      <c r="E142" s="78"/>
      <c r="F142" s="78"/>
      <c r="G142" s="78"/>
      <c r="H142" s="78"/>
      <c r="I142" s="76"/>
    </row>
    <row r="143" ht="15.75" customHeight="1">
      <c r="A143" s="79" t="s">
        <v>368</v>
      </c>
      <c r="B143" s="64"/>
      <c r="C143" s="78"/>
      <c r="D143" s="80">
        <v>106094.68</v>
      </c>
      <c r="E143" s="78"/>
      <c r="F143" s="78"/>
      <c r="G143" s="78"/>
      <c r="H143" s="78"/>
      <c r="I143" s="76"/>
    </row>
    <row r="144" ht="15.75" customHeight="1">
      <c r="A144" s="81" t="s">
        <v>369</v>
      </c>
      <c r="B144" s="82"/>
      <c r="C144" s="78"/>
      <c r="D144" s="80">
        <v>28934.91</v>
      </c>
      <c r="E144" s="78"/>
      <c r="F144" s="78"/>
      <c r="G144" s="78"/>
      <c r="H144" s="78"/>
      <c r="I144" s="76"/>
    </row>
    <row r="145" ht="15.75" customHeight="1">
      <c r="A145" s="79" t="s">
        <v>370</v>
      </c>
      <c r="B145" s="64"/>
      <c r="C145" s="78"/>
      <c r="D145" s="80">
        <v>38079.88</v>
      </c>
      <c r="E145" s="78"/>
      <c r="F145" s="78"/>
      <c r="G145" s="78"/>
      <c r="H145" s="78"/>
      <c r="I145" s="76"/>
    </row>
    <row r="146" ht="15.75" customHeight="1">
      <c r="A146" s="79" t="s">
        <v>371</v>
      </c>
      <c r="B146" s="64"/>
      <c r="C146" s="78"/>
      <c r="D146" s="80">
        <v>9644.97</v>
      </c>
      <c r="E146" s="78"/>
      <c r="F146" s="78"/>
      <c r="G146" s="78"/>
      <c r="H146" s="78"/>
      <c r="I146" s="76"/>
    </row>
    <row r="147" ht="15.75" customHeight="1">
      <c r="A147" s="79" t="s">
        <v>372</v>
      </c>
      <c r="B147" s="64"/>
      <c r="C147" s="78"/>
      <c r="D147" s="80">
        <v>9644.97</v>
      </c>
      <c r="E147" s="78"/>
      <c r="F147" s="78"/>
      <c r="G147" s="78"/>
      <c r="H147" s="78"/>
      <c r="I147" s="76"/>
    </row>
    <row r="148" ht="15.75" customHeight="1">
      <c r="A148" s="79" t="s">
        <v>373</v>
      </c>
      <c r="B148" s="64"/>
      <c r="C148" s="78"/>
      <c r="D148" s="80">
        <v>19289.94</v>
      </c>
      <c r="E148" s="78"/>
      <c r="F148" s="78"/>
      <c r="G148" s="78"/>
      <c r="H148" s="78"/>
      <c r="I148" s="76"/>
    </row>
    <row r="149" ht="15.75" customHeight="1">
      <c r="A149" s="79" t="s">
        <v>374</v>
      </c>
      <c r="B149" s="64"/>
      <c r="C149" s="78"/>
      <c r="D149" s="80">
        <v>7233.73</v>
      </c>
      <c r="E149" s="78"/>
      <c r="F149" s="78"/>
      <c r="G149" s="78"/>
      <c r="H149" s="78"/>
      <c r="I149" s="76"/>
    </row>
    <row r="150" ht="15.75" customHeight="1">
      <c r="A150" s="79" t="s">
        <v>375</v>
      </c>
      <c r="B150" s="64"/>
      <c r="C150" s="80">
        <v>964497.08</v>
      </c>
      <c r="D150" s="80">
        <v>218923.08</v>
      </c>
      <c r="E150" s="86">
        <v>745574.0</v>
      </c>
      <c r="F150" s="78"/>
      <c r="G150" s="78"/>
      <c r="H150" s="78"/>
      <c r="I150" s="76"/>
      <c r="J150" s="4">
        <v>46331.0</v>
      </c>
      <c r="K150" s="87">
        <v>745574.0</v>
      </c>
      <c r="M150" s="84" t="s">
        <v>376</v>
      </c>
    </row>
    <row r="151" ht="15.75" customHeight="1">
      <c r="A151" s="77"/>
      <c r="B151" s="63"/>
      <c r="C151" s="63"/>
      <c r="D151" s="88"/>
      <c r="E151" s="82"/>
      <c r="F151" s="78"/>
      <c r="G151" s="78"/>
      <c r="H151" s="78"/>
      <c r="I151" s="76"/>
      <c r="K151" s="89"/>
      <c r="L151" s="89"/>
    </row>
    <row r="152" ht="15.75" customHeight="1">
      <c r="A152" s="90" t="s">
        <v>377</v>
      </c>
      <c r="B152" s="63"/>
      <c r="C152" s="63"/>
      <c r="D152" s="88"/>
      <c r="E152" s="91">
        <v>1287347.0</v>
      </c>
      <c r="F152" s="82"/>
      <c r="G152" s="78"/>
      <c r="H152" s="78"/>
      <c r="I152" s="76"/>
      <c r="K152" s="89"/>
      <c r="L152" s="89"/>
    </row>
    <row r="153" ht="15.75" customHeight="1">
      <c r="A153" s="77"/>
      <c r="B153" s="63"/>
      <c r="C153" s="63"/>
      <c r="D153" s="63"/>
      <c r="E153" s="88"/>
      <c r="F153" s="92"/>
      <c r="G153" s="93" t="s">
        <v>378</v>
      </c>
      <c r="H153" s="94">
        <v>3750225.66</v>
      </c>
      <c r="I153" s="95">
        <v>0.25</v>
      </c>
      <c r="K153" s="89"/>
      <c r="L153" s="33">
        <f>K150+K132+K112</f>
        <v>2570340.05</v>
      </c>
      <c r="M153" s="1" t="s">
        <v>379</v>
      </c>
    </row>
    <row r="154" ht="15.75" customHeight="1">
      <c r="A154" s="62" t="s">
        <v>380</v>
      </c>
      <c r="B154" s="63"/>
      <c r="C154" s="63"/>
      <c r="D154" s="64"/>
      <c r="E154" s="65" t="s">
        <v>381</v>
      </c>
      <c r="F154" s="66"/>
      <c r="G154" s="66"/>
      <c r="H154" s="66"/>
      <c r="I154" s="96"/>
      <c r="K154" s="89"/>
      <c r="L154" s="89"/>
    </row>
    <row r="155" ht="15.75" customHeight="1">
      <c r="A155" s="79" t="s">
        <v>382</v>
      </c>
      <c r="B155" s="64"/>
      <c r="C155" s="90" t="s">
        <v>383</v>
      </c>
      <c r="D155" s="64"/>
      <c r="E155" s="83">
        <v>1546772.5</v>
      </c>
      <c r="F155" s="78"/>
      <c r="G155" s="78"/>
      <c r="H155" s="78"/>
      <c r="I155" s="76"/>
      <c r="J155" s="4">
        <v>46331.0</v>
      </c>
      <c r="K155" s="33">
        <v>1654571.43</v>
      </c>
      <c r="L155" s="89"/>
    </row>
    <row r="156" ht="15.75" customHeight="1">
      <c r="A156" s="77"/>
      <c r="B156" s="64"/>
      <c r="C156" s="77"/>
      <c r="D156" s="64"/>
      <c r="E156" s="78"/>
      <c r="F156" s="78"/>
      <c r="G156" s="78"/>
      <c r="H156" s="78"/>
      <c r="I156" s="76"/>
      <c r="K156" s="89"/>
      <c r="L156" s="89"/>
    </row>
    <row r="157" ht="15.75" customHeight="1">
      <c r="A157" s="77"/>
      <c r="B157" s="97"/>
      <c r="C157" s="97"/>
      <c r="D157" s="97"/>
      <c r="E157" s="97"/>
      <c r="F157" s="97"/>
      <c r="G157" s="93" t="s">
        <v>384</v>
      </c>
      <c r="H157" s="94">
        <v>1546772.5</v>
      </c>
      <c r="I157" s="95">
        <v>0.1</v>
      </c>
      <c r="K157" s="89"/>
      <c r="L157" s="33">
        <f>K155</f>
        <v>1654571.43</v>
      </c>
    </row>
    <row r="158" ht="15.75" customHeight="1">
      <c r="A158" s="98" t="s">
        <v>385</v>
      </c>
      <c r="B158" s="64"/>
      <c r="C158" s="99" t="s">
        <v>386</v>
      </c>
      <c r="D158" s="66"/>
      <c r="E158" s="66"/>
      <c r="F158" s="66"/>
      <c r="G158" s="96"/>
      <c r="K158" s="89"/>
      <c r="L158" s="89"/>
    </row>
    <row r="159" ht="15.75" customHeight="1">
      <c r="A159" s="100" t="s">
        <v>387</v>
      </c>
      <c r="B159" s="101" t="s">
        <v>388</v>
      </c>
      <c r="C159" s="102">
        <v>410843.14</v>
      </c>
      <c r="D159" s="78"/>
      <c r="E159" s="78"/>
      <c r="F159" s="78"/>
      <c r="G159" s="76"/>
      <c r="H159" s="1" t="s">
        <v>389</v>
      </c>
      <c r="I159" s="103" t="s">
        <v>390</v>
      </c>
      <c r="J159" s="4">
        <v>46338.0</v>
      </c>
      <c r="K159" s="33">
        <f>'Cuota Sindical'!B5</f>
        <v>434737.91</v>
      </c>
      <c r="L159" s="89"/>
    </row>
    <row r="160" ht="15.75" customHeight="1">
      <c r="A160" s="78"/>
      <c r="B160" s="78"/>
      <c r="C160" s="78"/>
      <c r="D160" s="78"/>
      <c r="E160" s="78"/>
      <c r="F160" s="78"/>
      <c r="G160" s="76"/>
      <c r="K160" s="89"/>
      <c r="L160" s="89"/>
    </row>
    <row r="161" ht="15.75" customHeight="1">
      <c r="A161" s="77"/>
      <c r="B161" s="97"/>
      <c r="C161" s="97"/>
      <c r="D161" s="97"/>
      <c r="E161" s="13" t="s">
        <v>391</v>
      </c>
      <c r="F161" s="104">
        <v>410843.14</v>
      </c>
      <c r="G161" s="105">
        <v>0.03</v>
      </c>
      <c r="K161" s="89"/>
      <c r="L161" s="33">
        <f>K159</f>
        <v>434737.91</v>
      </c>
    </row>
    <row r="162" ht="15.75" customHeight="1">
      <c r="A162" s="98" t="s">
        <v>392</v>
      </c>
      <c r="B162" s="64"/>
      <c r="C162" s="99" t="s">
        <v>393</v>
      </c>
      <c r="D162" s="66"/>
      <c r="E162" s="66"/>
      <c r="F162" s="66"/>
      <c r="G162" s="96"/>
      <c r="K162" s="89"/>
      <c r="L162" s="89"/>
    </row>
    <row r="163" ht="15.75" customHeight="1">
      <c r="A163" s="100" t="s">
        <v>394</v>
      </c>
      <c r="B163" s="101" t="s">
        <v>395</v>
      </c>
      <c r="C163" s="106">
        <v>17603.94</v>
      </c>
      <c r="D163" s="78"/>
      <c r="E163" s="78"/>
      <c r="F163" s="78"/>
      <c r="G163" s="76"/>
      <c r="H163" s="1" t="s">
        <v>396</v>
      </c>
      <c r="J163" s="4">
        <v>46351.0</v>
      </c>
      <c r="K163" s="87">
        <v>17603.94</v>
      </c>
      <c r="L163" s="89"/>
    </row>
    <row r="164" ht="15.75" customHeight="1">
      <c r="A164" s="100" t="s">
        <v>397</v>
      </c>
      <c r="B164" s="101" t="s">
        <v>398</v>
      </c>
      <c r="C164" s="106">
        <v>666754.14</v>
      </c>
      <c r="D164" s="78"/>
      <c r="E164" s="78"/>
      <c r="F164" s="78"/>
      <c r="G164" s="76"/>
      <c r="H164" s="1" t="s">
        <v>396</v>
      </c>
      <c r="J164" s="4">
        <v>46351.0</v>
      </c>
      <c r="K164" s="87">
        <v>666754.14</v>
      </c>
      <c r="L164" s="89"/>
    </row>
    <row r="165" ht="15.75" customHeight="1">
      <c r="A165" s="100" t="s">
        <v>399</v>
      </c>
      <c r="B165" s="101" t="s">
        <v>400</v>
      </c>
      <c r="C165" s="106">
        <v>799600.71</v>
      </c>
      <c r="D165" s="78"/>
      <c r="E165" s="78"/>
      <c r="F165" s="78"/>
      <c r="G165" s="76"/>
      <c r="H165" s="1" t="s">
        <v>396</v>
      </c>
      <c r="J165" s="4">
        <v>46351.0</v>
      </c>
      <c r="K165" s="87">
        <v>799600.71</v>
      </c>
      <c r="L165" s="89"/>
    </row>
    <row r="166" ht="15.75" customHeight="1">
      <c r="A166" s="100" t="s">
        <v>401</v>
      </c>
      <c r="B166" s="101" t="s">
        <v>402</v>
      </c>
      <c r="C166" s="106">
        <v>917064.09</v>
      </c>
      <c r="D166" s="78"/>
      <c r="E166" s="78"/>
      <c r="F166" s="78"/>
      <c r="G166" s="76"/>
      <c r="H166" s="1" t="s">
        <v>396</v>
      </c>
      <c r="J166" s="4">
        <v>46330.0</v>
      </c>
      <c r="K166" s="87">
        <v>917064.09</v>
      </c>
      <c r="L166" s="89"/>
    </row>
    <row r="167" ht="15.75" customHeight="1">
      <c r="A167" s="100" t="s">
        <v>403</v>
      </c>
      <c r="B167" s="101" t="s">
        <v>404</v>
      </c>
      <c r="C167" s="106">
        <v>30331.8</v>
      </c>
      <c r="D167" s="78"/>
      <c r="E167" s="78"/>
      <c r="F167" s="78"/>
      <c r="G167" s="76"/>
      <c r="H167" s="1" t="s">
        <v>396</v>
      </c>
      <c r="J167" s="4">
        <v>46336.0</v>
      </c>
      <c r="K167" s="87">
        <v>30331.8</v>
      </c>
      <c r="L167" s="89"/>
    </row>
    <row r="168" ht="15.75" customHeight="1">
      <c r="A168" s="78"/>
      <c r="B168" s="78"/>
      <c r="C168" s="78"/>
      <c r="D168" s="78"/>
      <c r="E168" s="78"/>
      <c r="F168" s="78"/>
      <c r="G168" s="76"/>
    </row>
    <row r="169" ht="15.75" customHeight="1">
      <c r="A169" s="77"/>
      <c r="B169" s="97"/>
      <c r="C169" s="97"/>
      <c r="D169" s="97"/>
      <c r="E169" s="13" t="s">
        <v>405</v>
      </c>
      <c r="F169" s="104">
        <v>2431354.68</v>
      </c>
      <c r="G169" s="105">
        <v>0.16</v>
      </c>
      <c r="L169" s="107">
        <f>SUM(K163:K168)</f>
        <v>2431354.68</v>
      </c>
    </row>
    <row r="170" ht="15.75" customHeight="1">
      <c r="A170" s="98" t="s">
        <v>406</v>
      </c>
      <c r="B170" s="64"/>
      <c r="C170" s="99" t="s">
        <v>407</v>
      </c>
      <c r="D170" s="66"/>
      <c r="E170" s="108" t="s">
        <v>408</v>
      </c>
      <c r="F170" s="108" t="s">
        <v>409</v>
      </c>
      <c r="G170" s="96"/>
    </row>
    <row r="171" ht="15.75" customHeight="1">
      <c r="A171" s="100" t="s">
        <v>410</v>
      </c>
      <c r="B171" s="109" t="s">
        <v>411</v>
      </c>
      <c r="C171" s="110"/>
      <c r="D171" s="110"/>
      <c r="E171" s="111">
        <v>160000.0</v>
      </c>
      <c r="F171" s="110"/>
      <c r="G171" s="76"/>
      <c r="H171" s="1" t="s">
        <v>396</v>
      </c>
    </row>
    <row r="172" ht="15.75" customHeight="1">
      <c r="A172" s="100" t="s">
        <v>412</v>
      </c>
      <c r="B172" s="112" t="s">
        <v>413</v>
      </c>
      <c r="C172" s="113">
        <v>9414.0</v>
      </c>
      <c r="D172" s="110"/>
      <c r="E172" s="110"/>
      <c r="F172" s="110"/>
      <c r="G172" s="76"/>
      <c r="J172" s="4">
        <v>46339.0</v>
      </c>
      <c r="K172" s="32">
        <v>169884.0</v>
      </c>
    </row>
    <row r="173" ht="15.75" customHeight="1">
      <c r="A173" s="100" t="s">
        <v>414</v>
      </c>
      <c r="B173" s="100" t="s">
        <v>415</v>
      </c>
      <c r="C173" s="106">
        <v>87866.77</v>
      </c>
      <c r="D173" s="110"/>
      <c r="E173" s="110"/>
      <c r="F173" s="110"/>
      <c r="G173" s="76"/>
      <c r="H173" s="1" t="s">
        <v>396</v>
      </c>
      <c r="J173" s="4">
        <v>46339.0</v>
      </c>
      <c r="K173" s="87">
        <v>87866.77</v>
      </c>
    </row>
    <row r="174" ht="15.75" customHeight="1">
      <c r="A174" s="100" t="s">
        <v>416</v>
      </c>
      <c r="B174" s="100" t="s">
        <v>417</v>
      </c>
      <c r="C174" s="110"/>
      <c r="D174" s="110"/>
      <c r="E174" s="114">
        <v>435600.0</v>
      </c>
      <c r="F174" s="110"/>
      <c r="G174" s="76"/>
      <c r="H174" s="1" t="s">
        <v>396</v>
      </c>
      <c r="J174" s="4">
        <v>46354.0</v>
      </c>
      <c r="K174" s="87">
        <v>435600.0</v>
      </c>
    </row>
    <row r="175" ht="15.75" customHeight="1">
      <c r="A175" s="100" t="s">
        <v>418</v>
      </c>
      <c r="B175" s="100" t="s">
        <v>419</v>
      </c>
      <c r="C175" s="110"/>
      <c r="D175" s="110"/>
      <c r="E175" s="110"/>
      <c r="F175" s="115">
        <v>1276100.0</v>
      </c>
      <c r="G175" s="76"/>
      <c r="H175" s="1" t="s">
        <v>420</v>
      </c>
      <c r="J175" s="4">
        <v>46339.0</v>
      </c>
      <c r="K175" s="87">
        <v>1276100.0</v>
      </c>
      <c r="O175" s="24"/>
    </row>
    <row r="176" ht="15.75" customHeight="1">
      <c r="A176" s="100" t="s">
        <v>421</v>
      </c>
      <c r="B176" s="112" t="s">
        <v>422</v>
      </c>
      <c r="C176" s="113">
        <v>175845.0</v>
      </c>
      <c r="D176" s="78"/>
      <c r="E176" s="78"/>
      <c r="F176" s="78"/>
      <c r="G176" s="76"/>
      <c r="H176" s="1" t="s">
        <v>423</v>
      </c>
      <c r="J176" s="4">
        <v>46339.0</v>
      </c>
      <c r="K176" s="32">
        <v>166205.0</v>
      </c>
      <c r="L176" s="1" t="s">
        <v>424</v>
      </c>
    </row>
    <row r="177" ht="15.75" customHeight="1">
      <c r="A177" s="100" t="s">
        <v>425</v>
      </c>
      <c r="B177" s="100" t="s">
        <v>426</v>
      </c>
      <c r="C177" s="106">
        <v>40000.0</v>
      </c>
      <c r="D177" s="78"/>
      <c r="E177" s="78"/>
      <c r="F177" s="78"/>
      <c r="G177" s="76"/>
      <c r="H177" s="1" t="s">
        <v>396</v>
      </c>
      <c r="J177" s="4">
        <v>46354.0</v>
      </c>
      <c r="K177" s="87">
        <v>40000.0</v>
      </c>
    </row>
    <row r="178" ht="15.75" customHeight="1">
      <c r="A178" s="100" t="s">
        <v>427</v>
      </c>
      <c r="B178" s="100" t="s">
        <v>428</v>
      </c>
      <c r="C178" s="106">
        <v>32000.0</v>
      </c>
      <c r="D178" s="110"/>
      <c r="E178" s="110"/>
      <c r="F178" s="110"/>
      <c r="G178" s="76"/>
      <c r="H178" s="1" t="s">
        <v>396</v>
      </c>
      <c r="J178" s="4">
        <v>46354.0</v>
      </c>
      <c r="K178" s="87">
        <v>32000.0</v>
      </c>
    </row>
    <row r="179" ht="15.75" customHeight="1">
      <c r="A179" s="100" t="s">
        <v>429</v>
      </c>
      <c r="B179" s="100" t="s">
        <v>430</v>
      </c>
      <c r="C179" s="78"/>
      <c r="D179" s="78"/>
      <c r="E179" s="114">
        <v>53250.0</v>
      </c>
      <c r="F179" s="78"/>
      <c r="G179" s="76"/>
      <c r="H179" s="1" t="s">
        <v>396</v>
      </c>
      <c r="J179" s="4">
        <v>46354.0</v>
      </c>
      <c r="K179" s="87">
        <v>53250.0</v>
      </c>
    </row>
    <row r="180" ht="15.75" customHeight="1">
      <c r="A180" s="100" t="s">
        <v>431</v>
      </c>
      <c r="B180" s="100" t="s">
        <v>432</v>
      </c>
      <c r="C180" s="110"/>
      <c r="D180" s="110"/>
      <c r="E180" s="114">
        <v>590000.0</v>
      </c>
      <c r="F180" s="110"/>
      <c r="G180" s="76"/>
      <c r="H180" s="1" t="s">
        <v>396</v>
      </c>
      <c r="J180" s="4">
        <v>46339.0</v>
      </c>
      <c r="K180" s="87">
        <v>590000.0</v>
      </c>
    </row>
    <row r="181" ht="15.75" customHeight="1">
      <c r="A181" s="100" t="s">
        <v>433</v>
      </c>
      <c r="B181" s="100" t="s">
        <v>434</v>
      </c>
      <c r="C181" s="110"/>
      <c r="D181" s="110"/>
      <c r="E181" s="114">
        <v>119000.0</v>
      </c>
      <c r="F181" s="110"/>
      <c r="G181" s="76"/>
      <c r="H181" s="1" t="s">
        <v>396</v>
      </c>
    </row>
    <row r="182" ht="15.75" customHeight="1">
      <c r="A182" s="77"/>
      <c r="B182" s="97"/>
      <c r="C182" s="97"/>
      <c r="D182" s="97"/>
      <c r="E182" s="13" t="s">
        <v>435</v>
      </c>
      <c r="F182" s="116">
        <v>2979075.77</v>
      </c>
      <c r="G182" s="105">
        <v>0.2</v>
      </c>
      <c r="L182" s="32">
        <f>SUM(K172:K181)</f>
        <v>2850905.77</v>
      </c>
      <c r="M182" s="1" t="s">
        <v>379</v>
      </c>
    </row>
    <row r="183" ht="15.75" customHeight="1">
      <c r="A183" s="98" t="s">
        <v>436</v>
      </c>
      <c r="B183" s="64"/>
      <c r="C183" s="99" t="s">
        <v>437</v>
      </c>
      <c r="D183" s="66"/>
      <c r="E183" s="66"/>
      <c r="F183" s="66"/>
      <c r="G183" s="96"/>
      <c r="L183" s="117"/>
    </row>
    <row r="184" ht="15.75" customHeight="1">
      <c r="A184" s="118" t="s">
        <v>438</v>
      </c>
      <c r="B184" s="64"/>
      <c r="C184" s="106">
        <v>91028.13</v>
      </c>
      <c r="D184" s="78"/>
      <c r="E184" s="78"/>
      <c r="F184" s="78"/>
      <c r="G184" s="76"/>
      <c r="H184" s="1" t="s">
        <v>439</v>
      </c>
      <c r="K184" s="103" t="s">
        <v>440</v>
      </c>
      <c r="L184" s="117"/>
    </row>
    <row r="185" ht="15.75" customHeight="1">
      <c r="A185" s="118" t="s">
        <v>441</v>
      </c>
      <c r="B185" s="64"/>
      <c r="C185" s="106">
        <v>161105.22</v>
      </c>
      <c r="D185" s="78"/>
      <c r="E185" s="78"/>
      <c r="F185" s="78"/>
      <c r="G185" s="76"/>
      <c r="H185" s="1" t="s">
        <v>439</v>
      </c>
      <c r="K185" s="103" t="s">
        <v>440</v>
      </c>
      <c r="L185" s="117"/>
    </row>
    <row r="186" ht="15.75" customHeight="1">
      <c r="A186" s="77"/>
      <c r="B186" s="97"/>
      <c r="C186" s="97"/>
      <c r="D186" s="97"/>
      <c r="E186" s="13" t="s">
        <v>442</v>
      </c>
      <c r="F186" s="119">
        <v>252133.35</v>
      </c>
      <c r="G186" s="105">
        <v>0.02</v>
      </c>
      <c r="L186" s="87">
        <f>Comisiones!C20+'25413'!B31</f>
        <v>252133.35</v>
      </c>
    </row>
    <row r="187" ht="15.75" customHeight="1">
      <c r="A187" s="98" t="s">
        <v>443</v>
      </c>
      <c r="B187" s="64"/>
      <c r="C187" s="99" t="s">
        <v>444</v>
      </c>
      <c r="D187" s="66"/>
      <c r="E187" s="66"/>
      <c r="F187" s="66"/>
      <c r="G187" s="96"/>
      <c r="L187" s="117"/>
    </row>
    <row r="188" ht="15.75" customHeight="1">
      <c r="A188" s="100" t="s">
        <v>445</v>
      </c>
      <c r="B188" s="100" t="s">
        <v>446</v>
      </c>
      <c r="C188" s="113">
        <v>199165.25</v>
      </c>
      <c r="D188" s="78"/>
      <c r="E188" s="78"/>
      <c r="F188" s="78"/>
      <c r="G188" s="76"/>
      <c r="J188" s="4">
        <v>46333.0</v>
      </c>
      <c r="K188" s="38">
        <v>199165.23</v>
      </c>
      <c r="L188" s="117"/>
    </row>
    <row r="189" ht="15.75" customHeight="1">
      <c r="A189" s="100" t="s">
        <v>447</v>
      </c>
      <c r="B189" s="101" t="s">
        <v>448</v>
      </c>
      <c r="C189" s="120">
        <v>12692.0</v>
      </c>
      <c r="D189" s="78"/>
      <c r="E189" s="78"/>
      <c r="F189" s="78"/>
      <c r="G189" s="76"/>
      <c r="J189" s="4">
        <v>46331.0</v>
      </c>
      <c r="K189" s="1">
        <v>12692.0</v>
      </c>
      <c r="L189" s="117"/>
    </row>
    <row r="190" ht="15.75" customHeight="1">
      <c r="A190" s="77"/>
      <c r="B190" s="97"/>
      <c r="C190" s="97"/>
      <c r="D190" s="97"/>
      <c r="E190" s="13" t="s">
        <v>449</v>
      </c>
      <c r="F190" s="104">
        <v>211857.25</v>
      </c>
      <c r="G190" s="105">
        <v>0.01</v>
      </c>
      <c r="L190" s="117">
        <f>K189+K188</f>
        <v>211857.23</v>
      </c>
    </row>
    <row r="191" ht="15.75" customHeight="1">
      <c r="A191" s="98" t="s">
        <v>450</v>
      </c>
      <c r="B191" s="64"/>
      <c r="C191" s="66"/>
      <c r="D191" s="108" t="s">
        <v>451</v>
      </c>
      <c r="E191" s="108" t="s">
        <v>452</v>
      </c>
      <c r="F191" s="66"/>
      <c r="G191" s="96"/>
      <c r="L191" s="117"/>
    </row>
    <row r="192" ht="15.75" customHeight="1">
      <c r="A192" s="100" t="s">
        <v>453</v>
      </c>
      <c r="B192" s="100" t="s">
        <v>454</v>
      </c>
      <c r="C192" s="78"/>
      <c r="D192" s="113">
        <v>2372281.23</v>
      </c>
      <c r="E192" s="78"/>
      <c r="F192" s="78"/>
      <c r="G192" s="76"/>
      <c r="H192" s="1" t="s">
        <v>396</v>
      </c>
      <c r="I192" s="1" t="s">
        <v>455</v>
      </c>
      <c r="J192" s="4">
        <v>46331.0</v>
      </c>
      <c r="K192" s="38">
        <v>2441328.56</v>
      </c>
    </row>
    <row r="193" ht="15.75" customHeight="1">
      <c r="A193" s="78"/>
      <c r="B193" s="78"/>
      <c r="C193" s="78"/>
      <c r="D193" s="78"/>
      <c r="E193" s="78"/>
      <c r="F193" s="78"/>
      <c r="G193" s="76"/>
    </row>
    <row r="194" ht="15.75" customHeight="1">
      <c r="A194" s="77"/>
      <c r="B194" s="97"/>
      <c r="C194" s="97"/>
      <c r="D194" s="97"/>
      <c r="E194" s="13" t="s">
        <v>456</v>
      </c>
      <c r="F194" s="104">
        <v>2372281.23</v>
      </c>
      <c r="G194" s="105">
        <v>0.16</v>
      </c>
      <c r="L194" s="117">
        <f>K192</f>
        <v>2441328.56</v>
      </c>
      <c r="M194" s="1" t="s">
        <v>379</v>
      </c>
    </row>
    <row r="195" ht="15.75" customHeight="1">
      <c r="A195" s="98" t="s">
        <v>457</v>
      </c>
      <c r="B195" s="64"/>
      <c r="C195" s="99" t="s">
        <v>458</v>
      </c>
      <c r="D195" s="66"/>
      <c r="E195" s="108" t="s">
        <v>459</v>
      </c>
      <c r="F195" s="108" t="s">
        <v>460</v>
      </c>
      <c r="G195" s="96"/>
    </row>
    <row r="196" ht="15.75" customHeight="1">
      <c r="A196" s="100" t="s">
        <v>461</v>
      </c>
      <c r="B196" s="101" t="s">
        <v>462</v>
      </c>
      <c r="C196" s="120">
        <v>85000.0</v>
      </c>
      <c r="D196" s="78"/>
      <c r="E196" s="78"/>
      <c r="F196" s="78"/>
      <c r="G196" s="76"/>
      <c r="H196" s="1" t="s">
        <v>396</v>
      </c>
    </row>
    <row r="197" ht="15.75" customHeight="1">
      <c r="A197" s="100" t="s">
        <v>463</v>
      </c>
      <c r="B197" s="100" t="s">
        <v>464</v>
      </c>
      <c r="C197" s="120">
        <v>350000.0</v>
      </c>
      <c r="D197" s="78"/>
      <c r="E197" s="78"/>
      <c r="F197" s="78"/>
      <c r="G197" s="76"/>
      <c r="H197" s="1" t="s">
        <v>396</v>
      </c>
      <c r="J197" s="1" t="s">
        <v>465</v>
      </c>
    </row>
    <row r="198" ht="15.75" customHeight="1">
      <c r="A198" s="100" t="s">
        <v>466</v>
      </c>
      <c r="B198" s="100" t="s">
        <v>467</v>
      </c>
      <c r="C198" s="102">
        <v>35000.0</v>
      </c>
      <c r="D198" s="78"/>
      <c r="E198" s="78"/>
      <c r="F198" s="78"/>
      <c r="G198" s="76"/>
      <c r="H198" s="1" t="s">
        <v>468</v>
      </c>
      <c r="J198" s="4">
        <v>46339.0</v>
      </c>
      <c r="K198" s="38">
        <f>35000+35000</f>
        <v>70000</v>
      </c>
    </row>
    <row r="199" ht="15.75" customHeight="1">
      <c r="A199" s="77"/>
      <c r="B199" s="97"/>
      <c r="C199" s="97"/>
      <c r="D199" s="97"/>
      <c r="E199" s="13" t="s">
        <v>469</v>
      </c>
      <c r="F199" s="104">
        <v>470000.0</v>
      </c>
      <c r="G199" s="105">
        <v>0.03</v>
      </c>
      <c r="L199" s="117">
        <f>K198</f>
        <v>70000</v>
      </c>
      <c r="M199" s="1" t="s">
        <v>379</v>
      </c>
    </row>
    <row r="200" ht="15.75" customHeight="1">
      <c r="A200" s="98" t="s">
        <v>470</v>
      </c>
      <c r="B200" s="64"/>
      <c r="C200" s="99" t="s">
        <v>471</v>
      </c>
      <c r="D200" s="66"/>
      <c r="E200" s="108" t="s">
        <v>472</v>
      </c>
      <c r="F200" s="108" t="s">
        <v>473</v>
      </c>
      <c r="G200" s="96"/>
    </row>
    <row r="201" ht="15.75" customHeight="1">
      <c r="A201" s="118" t="s">
        <v>474</v>
      </c>
      <c r="B201" s="64"/>
      <c r="C201" s="106">
        <v>105000.0</v>
      </c>
      <c r="D201" s="78"/>
      <c r="E201" s="78"/>
      <c r="F201" s="78"/>
      <c r="G201" s="76"/>
      <c r="H201" s="1" t="s">
        <v>396</v>
      </c>
      <c r="J201" s="4">
        <v>46339.0</v>
      </c>
      <c r="K201" s="1">
        <v>105000.0</v>
      </c>
    </row>
    <row r="202" ht="15.75" customHeight="1">
      <c r="A202" s="118" t="s">
        <v>475</v>
      </c>
      <c r="B202" s="64"/>
      <c r="C202" s="106">
        <v>18900.0</v>
      </c>
      <c r="D202" s="78"/>
      <c r="E202" s="78"/>
      <c r="F202" s="78"/>
      <c r="G202" s="76"/>
      <c r="H202" s="1" t="s">
        <v>476</v>
      </c>
      <c r="J202" s="4">
        <v>46354.0</v>
      </c>
      <c r="K202" s="1">
        <v>18900.0</v>
      </c>
    </row>
    <row r="203" ht="15.75" customHeight="1">
      <c r="A203" s="77"/>
      <c r="B203" s="64"/>
      <c r="C203" s="78"/>
      <c r="D203" s="78"/>
      <c r="E203" s="78"/>
      <c r="F203" s="78"/>
      <c r="G203" s="76"/>
    </row>
    <row r="204" ht="15.75" customHeight="1">
      <c r="A204" s="77"/>
      <c r="B204" s="97"/>
      <c r="C204" s="97"/>
      <c r="D204" s="97"/>
      <c r="E204" s="13" t="s">
        <v>477</v>
      </c>
      <c r="F204" s="104">
        <v>123900.0</v>
      </c>
      <c r="G204" s="105">
        <v>0.01</v>
      </c>
      <c r="L204" s="107">
        <f>K202+K201</f>
        <v>123900</v>
      </c>
      <c r="M204" s="1" t="s">
        <v>379</v>
      </c>
    </row>
    <row r="205" ht="15.75" customHeight="1">
      <c r="A205" s="98" t="s">
        <v>478</v>
      </c>
      <c r="B205" s="64"/>
      <c r="C205" s="99" t="s">
        <v>479</v>
      </c>
      <c r="D205" s="66"/>
      <c r="E205" s="66"/>
      <c r="F205" s="66"/>
      <c r="G205" s="96"/>
    </row>
    <row r="206" ht="15.75" customHeight="1">
      <c r="A206" s="121" t="s">
        <v>480</v>
      </c>
      <c r="B206" s="101" t="s">
        <v>481</v>
      </c>
      <c r="C206" s="106">
        <v>390000.0</v>
      </c>
      <c r="D206" s="78"/>
      <c r="E206" s="78"/>
      <c r="F206" s="78"/>
      <c r="G206" s="76"/>
      <c r="H206" s="1" t="s">
        <v>396</v>
      </c>
      <c r="J206" s="4">
        <v>46354.0</v>
      </c>
      <c r="K206" s="1">
        <v>390000.0</v>
      </c>
    </row>
    <row r="207" ht="15.75" customHeight="1">
      <c r="A207" s="77"/>
      <c r="B207" s="97"/>
      <c r="C207" s="97"/>
      <c r="D207" s="97"/>
      <c r="E207" s="13" t="s">
        <v>482</v>
      </c>
      <c r="F207" s="104">
        <v>390000.0</v>
      </c>
      <c r="G207" s="105">
        <v>0.03</v>
      </c>
      <c r="L207" s="107">
        <f>K206</f>
        <v>390000</v>
      </c>
      <c r="M207" s="1" t="s">
        <v>379</v>
      </c>
    </row>
    <row r="208" ht="15.75" customHeight="1">
      <c r="A208" s="122"/>
      <c r="B208" s="123" t="s">
        <v>483</v>
      </c>
      <c r="C208" s="124">
        <v>9932212.35</v>
      </c>
      <c r="D208" s="124">
        <v>2372281.23</v>
      </c>
      <c r="E208" s="125">
        <v>1357850.0</v>
      </c>
      <c r="F208" s="126">
        <v>1276100.0</v>
      </c>
      <c r="G208" s="7"/>
    </row>
    <row r="209" ht="15.75" customHeight="1">
      <c r="A209" s="127" t="s">
        <v>484</v>
      </c>
      <c r="B209" s="128"/>
      <c r="C209" s="128"/>
      <c r="D209" s="128"/>
      <c r="E209" s="129"/>
      <c r="F209" s="130">
        <v>1.493844358E7</v>
      </c>
      <c r="G209" s="105">
        <v>1.0</v>
      </c>
      <c r="L209" s="24">
        <f>L207+L204+L199+L194+L190+L186+L182+L169+L161+L157+L153</f>
        <v>13431128.98</v>
      </c>
    </row>
    <row r="210" ht="15.75" customHeight="1"/>
    <row r="211" ht="15.75" customHeight="1">
      <c r="A211" s="131" t="s">
        <v>485</v>
      </c>
      <c r="B211" s="63"/>
      <c r="C211" s="63"/>
      <c r="D211" s="64"/>
    </row>
    <row r="212" ht="15.75" customHeight="1">
      <c r="N212" s="1"/>
    </row>
    <row r="213" ht="15.75" customHeight="1">
      <c r="A213" s="132" t="s">
        <v>486</v>
      </c>
      <c r="B213" s="133">
        <v>1.069522137E7</v>
      </c>
      <c r="C213" s="134"/>
      <c r="D213" s="1" t="s">
        <v>487</v>
      </c>
      <c r="E213" s="1" t="s">
        <v>488</v>
      </c>
    </row>
    <row r="214" ht="15.75" customHeight="1">
      <c r="A214" s="135" t="s">
        <v>489</v>
      </c>
      <c r="B214" s="136">
        <v>1.354304892E7</v>
      </c>
      <c r="C214" s="63"/>
      <c r="D214" s="24">
        <f>I76+I78</f>
        <v>13543048.92</v>
      </c>
      <c r="E214" s="26" t="b">
        <f>D214=B214</f>
        <v>1</v>
      </c>
    </row>
    <row r="215" ht="15.75" customHeight="1">
      <c r="A215" s="135" t="s">
        <v>490</v>
      </c>
      <c r="B215" s="137" t="s">
        <v>491</v>
      </c>
      <c r="C215" s="138">
        <v>1654571.43</v>
      </c>
      <c r="D215" s="3">
        <f>L157</f>
        <v>1654571.43</v>
      </c>
      <c r="E215" s="26" t="b">
        <f t="shared" ref="E215:E221" si="9">D215=C215</f>
        <v>1</v>
      </c>
      <c r="F215" s="1" t="s">
        <v>492</v>
      </c>
    </row>
    <row r="216" ht="15.75" customHeight="1">
      <c r="A216" s="135" t="s">
        <v>493</v>
      </c>
      <c r="B216" s="137" t="s">
        <v>494</v>
      </c>
      <c r="C216" s="138">
        <v>434737.91</v>
      </c>
      <c r="D216" s="3">
        <f>'Cuota Sindical'!B5</f>
        <v>434737.91</v>
      </c>
      <c r="E216" s="26" t="b">
        <f t="shared" si="9"/>
        <v>1</v>
      </c>
      <c r="F216" s="1" t="s">
        <v>495</v>
      </c>
    </row>
    <row r="217" ht="15.75" customHeight="1">
      <c r="A217" s="135" t="s">
        <v>496</v>
      </c>
      <c r="B217" s="137" t="s">
        <v>497</v>
      </c>
      <c r="C217" s="138">
        <v>91028.13</v>
      </c>
      <c r="D217" s="3">
        <f>Comisiones!C20</f>
        <v>91028.13</v>
      </c>
      <c r="E217" s="26" t="b">
        <f t="shared" si="9"/>
        <v>1</v>
      </c>
    </row>
    <row r="218" ht="15.75" customHeight="1">
      <c r="A218" s="135" t="s">
        <v>498</v>
      </c>
      <c r="B218" s="137" t="s">
        <v>499</v>
      </c>
      <c r="C218" s="138">
        <v>211857.23</v>
      </c>
      <c r="D218" s="3">
        <f>L190</f>
        <v>211857.23</v>
      </c>
      <c r="E218" s="26" t="b">
        <f t="shared" si="9"/>
        <v>1</v>
      </c>
    </row>
    <row r="219" ht="15.75" customHeight="1">
      <c r="A219" s="135" t="s">
        <v>500</v>
      </c>
      <c r="B219" s="137" t="s">
        <v>501</v>
      </c>
      <c r="C219" s="138">
        <v>2431354.68</v>
      </c>
      <c r="D219" s="3">
        <f>L169</f>
        <v>2431354.68</v>
      </c>
      <c r="E219" s="26" t="b">
        <f t="shared" si="9"/>
        <v>1</v>
      </c>
    </row>
    <row r="220" ht="15.75" customHeight="1">
      <c r="A220" s="135" t="s">
        <v>502</v>
      </c>
      <c r="B220" s="137" t="s">
        <v>503</v>
      </c>
      <c r="C220" s="138">
        <v>8484274.38</v>
      </c>
      <c r="D220" s="24">
        <f>L207+L204+L199+L194+L182+L153+'Diferencias encontradas'!C3</f>
        <v>8484274.38</v>
      </c>
      <c r="E220" s="26" t="b">
        <f t="shared" si="9"/>
        <v>1</v>
      </c>
    </row>
    <row r="221" ht="15.75" customHeight="1">
      <c r="A221" s="135" t="s">
        <v>504</v>
      </c>
      <c r="B221" s="137" t="s">
        <v>505</v>
      </c>
      <c r="C221" s="138">
        <v>161105.22</v>
      </c>
      <c r="D221" s="3">
        <f>'25413'!B31</f>
        <v>161105.22</v>
      </c>
      <c r="E221" s="26" t="b">
        <f t="shared" si="9"/>
        <v>1</v>
      </c>
    </row>
    <row r="222" ht="15.75" customHeight="1">
      <c r="A222" s="132" t="s">
        <v>506</v>
      </c>
      <c r="B222" s="133">
        <v>1.076934131E7</v>
      </c>
      <c r="C222" s="134"/>
      <c r="D222" s="139">
        <f>B213+D214-D215-D216-D217-D218-D219-D220-D221</f>
        <v>10769341.31</v>
      </c>
      <c r="E222" s="26" t="b">
        <f>D222=B222</f>
        <v>1</v>
      </c>
    </row>
    <row r="223" ht="15.75" customHeight="1"/>
    <row r="224" ht="15.75" customHeight="1"/>
    <row r="225" ht="15.75" customHeight="1"/>
    <row r="226" ht="15.75" customHeight="1"/>
    <row r="227" ht="15.75" customHeight="1">
      <c r="F227" s="4"/>
    </row>
    <row r="228" ht="15.75" customHeight="1"/>
    <row r="229" ht="15.75" customHeight="1"/>
    <row r="230" ht="15.75" customHeight="1"/>
    <row r="231" ht="15.75" customHeight="1"/>
    <row r="232" ht="15.75" customHeight="1">
      <c r="E232" s="140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4">
    <mergeCell ref="A1:B1"/>
    <mergeCell ref="A4:D4"/>
    <mergeCell ref="A76:B76"/>
    <mergeCell ref="A78:C78"/>
    <mergeCell ref="A90:B90"/>
    <mergeCell ref="A92:C92"/>
    <mergeCell ref="A93:D93"/>
    <mergeCell ref="A96:B96"/>
    <mergeCell ref="C96:D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8:B108"/>
    <mergeCell ref="A109:B109"/>
    <mergeCell ref="A105:B105"/>
    <mergeCell ref="A107:B107"/>
    <mergeCell ref="A110:B110"/>
    <mergeCell ref="A111:B111"/>
    <mergeCell ref="A112:B112"/>
    <mergeCell ref="A113:D113"/>
    <mergeCell ref="A114:D114"/>
    <mergeCell ref="E114:E115"/>
    <mergeCell ref="A115:C115"/>
    <mergeCell ref="F114:F115"/>
    <mergeCell ref="G114:G115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7:B127"/>
    <mergeCell ref="A128:B128"/>
    <mergeCell ref="A129:B129"/>
    <mergeCell ref="A130:B130"/>
    <mergeCell ref="A131:B131"/>
    <mergeCell ref="A132:B132"/>
    <mergeCell ref="A133:D133"/>
    <mergeCell ref="A134:D134"/>
    <mergeCell ref="E134:E135"/>
    <mergeCell ref="F134:F135"/>
    <mergeCell ref="G134:G135"/>
    <mergeCell ref="H134:H135"/>
    <mergeCell ref="A135:C135"/>
    <mergeCell ref="A136:B136"/>
    <mergeCell ref="C136:D136"/>
    <mergeCell ref="A137:B137"/>
    <mergeCell ref="A138:B138"/>
    <mergeCell ref="A139:B139"/>
    <mergeCell ref="A140:B140"/>
    <mergeCell ref="A141:B141"/>
    <mergeCell ref="A142:B142"/>
    <mergeCell ref="A143:B143"/>
    <mergeCell ref="A145:B145"/>
    <mergeCell ref="G170:G181"/>
    <mergeCell ref="G183:G185"/>
    <mergeCell ref="G187:G189"/>
    <mergeCell ref="G191:G193"/>
    <mergeCell ref="G195:G198"/>
    <mergeCell ref="G200:G203"/>
    <mergeCell ref="G205:G206"/>
    <mergeCell ref="A156:B156"/>
    <mergeCell ref="A158:B158"/>
    <mergeCell ref="G158:G160"/>
    <mergeCell ref="A162:B162"/>
    <mergeCell ref="G162:G168"/>
    <mergeCell ref="A170:B170"/>
    <mergeCell ref="A183:B183"/>
    <mergeCell ref="A205:B205"/>
    <mergeCell ref="A209:E209"/>
    <mergeCell ref="A211:D211"/>
    <mergeCell ref="B213:C213"/>
    <mergeCell ref="B214:C214"/>
    <mergeCell ref="B222:C222"/>
    <mergeCell ref="A187:B187"/>
    <mergeCell ref="A191:B191"/>
    <mergeCell ref="A195:B195"/>
    <mergeCell ref="A200:B200"/>
    <mergeCell ref="A201:B201"/>
    <mergeCell ref="A202:B202"/>
    <mergeCell ref="A203:B203"/>
    <mergeCell ref="H114:H115"/>
    <mergeCell ref="A116:B116"/>
    <mergeCell ref="C116:D116"/>
    <mergeCell ref="A146:B146"/>
    <mergeCell ref="A147:B147"/>
    <mergeCell ref="A148:B148"/>
    <mergeCell ref="A149:B149"/>
    <mergeCell ref="A150:B150"/>
    <mergeCell ref="A151:D151"/>
    <mergeCell ref="A94:D94"/>
    <mergeCell ref="E94:E95"/>
    <mergeCell ref="F94:F95"/>
    <mergeCell ref="G94:G95"/>
    <mergeCell ref="H94:H95"/>
    <mergeCell ref="I94:I152"/>
    <mergeCell ref="A95:C95"/>
    <mergeCell ref="A152:D152"/>
    <mergeCell ref="A153:E153"/>
    <mergeCell ref="A154:D154"/>
    <mergeCell ref="I154:I156"/>
    <mergeCell ref="A155:B155"/>
    <mergeCell ref="C155:D155"/>
    <mergeCell ref="C156:D156"/>
    <mergeCell ref="A184:B184"/>
    <mergeCell ref="A185:B185"/>
  </mergeCells>
  <hyperlinks>
    <hyperlink display="ver desglose" location="'Cuota Sindical'!A1" ref="I159"/>
    <hyperlink display="Ver desglose" location="Comisiones!A1" ref="K184"/>
    <hyperlink display="Ver desglose" location="'25413'!A1" ref="K185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A2" s="1" t="s">
        <v>0</v>
      </c>
      <c r="B2" s="3">
        <v>16653.65</v>
      </c>
      <c r="C2" s="4">
        <v>46338.0</v>
      </c>
      <c r="D2" s="1" t="s">
        <v>4</v>
      </c>
    </row>
    <row r="3">
      <c r="A3" s="1" t="s">
        <v>6</v>
      </c>
      <c r="B3" s="3">
        <v>149882.83</v>
      </c>
      <c r="C3" s="4">
        <v>46338.0</v>
      </c>
      <c r="D3" s="1" t="s">
        <v>4</v>
      </c>
    </row>
    <row r="4">
      <c r="A4" s="1" t="s">
        <v>8</v>
      </c>
      <c r="B4" s="3">
        <v>268201.43</v>
      </c>
      <c r="C4" s="4">
        <v>46338.0</v>
      </c>
      <c r="D4" s="1" t="s">
        <v>4</v>
      </c>
    </row>
    <row r="5">
      <c r="B5" s="6">
        <f>B4+B3+B2</f>
        <v>434737.91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5.71"/>
  </cols>
  <sheetData>
    <row r="2">
      <c r="A2" s="2" t="s">
        <v>1</v>
      </c>
      <c r="B2" s="2" t="s">
        <v>2</v>
      </c>
      <c r="C2" s="2" t="s">
        <v>3</v>
      </c>
    </row>
    <row r="3">
      <c r="A3" s="1" t="s">
        <v>5</v>
      </c>
      <c r="B3" s="4">
        <v>46329.0</v>
      </c>
      <c r="C3" s="5">
        <v>55000.0</v>
      </c>
    </row>
    <row r="4">
      <c r="A4" s="1" t="s">
        <v>7</v>
      </c>
      <c r="B4" s="4">
        <v>46329.0</v>
      </c>
      <c r="C4" s="5">
        <v>11550.0</v>
      </c>
    </row>
    <row r="5">
      <c r="A5" s="1" t="s">
        <v>9</v>
      </c>
      <c r="B5" s="4">
        <v>46329.0</v>
      </c>
      <c r="C5" s="5">
        <v>6987.75</v>
      </c>
    </row>
    <row r="6">
      <c r="A6" s="1" t="s">
        <v>10</v>
      </c>
      <c r="B6" s="4">
        <v>46329.0</v>
      </c>
      <c r="C6" s="5">
        <v>4400.0</v>
      </c>
    </row>
    <row r="7">
      <c r="A7" s="1" t="s">
        <v>11</v>
      </c>
      <c r="B7" s="4">
        <v>46331.0</v>
      </c>
      <c r="C7" s="5">
        <v>1000.0</v>
      </c>
    </row>
    <row r="8">
      <c r="A8" s="1" t="s">
        <v>7</v>
      </c>
      <c r="B8" s="4">
        <v>46331.0</v>
      </c>
      <c r="C8" s="5">
        <v>210.0</v>
      </c>
    </row>
    <row r="9">
      <c r="A9" s="1" t="s">
        <v>12</v>
      </c>
      <c r="B9" s="4">
        <v>46331.0</v>
      </c>
      <c r="C9" s="5">
        <v>127.05</v>
      </c>
    </row>
    <row r="10">
      <c r="A10" s="1" t="s">
        <v>13</v>
      </c>
      <c r="B10" s="4">
        <v>46339.0</v>
      </c>
      <c r="C10" s="5">
        <v>1000.0</v>
      </c>
    </row>
    <row r="11">
      <c r="A11" s="1" t="s">
        <v>7</v>
      </c>
      <c r="B11" s="4">
        <v>46339.0</v>
      </c>
      <c r="C11" s="5">
        <v>210.0</v>
      </c>
    </row>
    <row r="12">
      <c r="A12" s="1" t="s">
        <v>12</v>
      </c>
      <c r="B12" s="4">
        <v>46339.0</v>
      </c>
      <c r="C12" s="5">
        <v>127.05</v>
      </c>
    </row>
    <row r="13">
      <c r="A13" s="1" t="s">
        <v>14</v>
      </c>
      <c r="B13" s="4">
        <v>46344.0</v>
      </c>
      <c r="C13" s="5">
        <v>5440.0</v>
      </c>
    </row>
    <row r="14">
      <c r="A14" s="1" t="s">
        <v>7</v>
      </c>
      <c r="B14" s="4">
        <v>46344.0</v>
      </c>
      <c r="C14" s="5">
        <v>1142.4</v>
      </c>
    </row>
    <row r="15">
      <c r="A15" s="1" t="s">
        <v>12</v>
      </c>
      <c r="B15" s="4">
        <v>46344.0</v>
      </c>
      <c r="C15" s="5">
        <v>691.15</v>
      </c>
    </row>
    <row r="16">
      <c r="A16" s="1" t="s">
        <v>16</v>
      </c>
      <c r="B16" s="4">
        <v>46344.0</v>
      </c>
      <c r="C16" s="5">
        <v>435.2</v>
      </c>
    </row>
    <row r="17">
      <c r="A17" s="1" t="s">
        <v>14</v>
      </c>
      <c r="B17" s="4">
        <v>46351.0</v>
      </c>
      <c r="C17" s="5">
        <v>2025.0</v>
      </c>
    </row>
    <row r="18">
      <c r="A18" s="1" t="s">
        <v>7</v>
      </c>
      <c r="B18" s="4">
        <v>46351.0</v>
      </c>
      <c r="C18" s="5">
        <v>425.25</v>
      </c>
    </row>
    <row r="19">
      <c r="A19" s="1" t="s">
        <v>12</v>
      </c>
      <c r="B19" s="4">
        <v>46351.0</v>
      </c>
      <c r="C19" s="5">
        <v>257.28</v>
      </c>
    </row>
    <row r="20">
      <c r="C20" s="10">
        <f>SUM(C3:C19)</f>
        <v>91028.13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A2" s="1" t="s">
        <v>2</v>
      </c>
      <c r="B2" s="1" t="s">
        <v>3</v>
      </c>
    </row>
    <row r="3">
      <c r="A3" s="4">
        <v>46329.0</v>
      </c>
      <c r="B3" s="5">
        <v>467.63</v>
      </c>
    </row>
    <row r="4">
      <c r="A4" s="4">
        <v>46330.0</v>
      </c>
      <c r="B4" s="5">
        <v>5502.38</v>
      </c>
    </row>
    <row r="5">
      <c r="A5" s="4">
        <v>46330.0</v>
      </c>
      <c r="B5" s="5">
        <v>10711.22</v>
      </c>
    </row>
    <row r="6">
      <c r="A6" s="4">
        <v>46330.0</v>
      </c>
      <c r="B6" s="5">
        <v>916.04</v>
      </c>
    </row>
    <row r="7">
      <c r="A7" s="4">
        <v>46331.0</v>
      </c>
      <c r="B7" s="5">
        <v>40081.61</v>
      </c>
    </row>
    <row r="8">
      <c r="A8" s="4">
        <v>46331.0</v>
      </c>
      <c r="B8" s="5">
        <v>7675.84</v>
      </c>
    </row>
    <row r="9">
      <c r="A9" s="4">
        <v>46333.0</v>
      </c>
      <c r="B9" s="5">
        <v>1194.99</v>
      </c>
    </row>
    <row r="10">
      <c r="A10" s="4">
        <v>46333.0</v>
      </c>
      <c r="B10" s="5">
        <v>9549.93</v>
      </c>
    </row>
    <row r="11">
      <c r="A11" s="4">
        <v>46336.0</v>
      </c>
      <c r="B11" s="5">
        <v>16220.15</v>
      </c>
    </row>
    <row r="12">
      <c r="A12" s="4">
        <v>46337.0</v>
      </c>
      <c r="B12" s="5">
        <v>181.99</v>
      </c>
    </row>
    <row r="13">
      <c r="A13" s="4">
        <v>46337.0</v>
      </c>
      <c r="B13" s="5">
        <v>2221.58</v>
      </c>
    </row>
    <row r="14">
      <c r="A14" s="4">
        <v>46337.0</v>
      </c>
      <c r="B14" s="5">
        <v>966.53</v>
      </c>
    </row>
    <row r="15">
      <c r="A15" s="4">
        <v>46338.0</v>
      </c>
      <c r="B15" s="5">
        <v>2608.43</v>
      </c>
    </row>
    <row r="16">
      <c r="A16" s="4">
        <v>46339.0</v>
      </c>
      <c r="B16" s="5">
        <v>14798.36</v>
      </c>
    </row>
    <row r="17">
      <c r="A17" s="4">
        <v>46339.0</v>
      </c>
      <c r="B17" s="5">
        <v>4710.06</v>
      </c>
    </row>
    <row r="18">
      <c r="A18" s="4">
        <v>46340.0</v>
      </c>
      <c r="B18" s="5">
        <v>6608.94</v>
      </c>
    </row>
    <row r="19">
      <c r="A19" s="4">
        <v>46340.0</v>
      </c>
      <c r="B19" s="5">
        <v>1067.51</v>
      </c>
    </row>
    <row r="20">
      <c r="A20" s="4">
        <v>46343.0</v>
      </c>
      <c r="B20" s="5">
        <v>5775.41</v>
      </c>
      <c r="C20" s="1"/>
    </row>
    <row r="21">
      <c r="A21" s="4">
        <v>46343.0</v>
      </c>
      <c r="B21" s="5">
        <v>1298.33</v>
      </c>
      <c r="C21" s="1" t="s">
        <v>15</v>
      </c>
    </row>
    <row r="22">
      <c r="A22" s="4">
        <v>46344.0</v>
      </c>
      <c r="B22" s="5">
        <v>46.25</v>
      </c>
      <c r="C22" s="1" t="s">
        <v>15</v>
      </c>
    </row>
    <row r="23">
      <c r="A23" s="4">
        <v>46344.0</v>
      </c>
      <c r="B23" s="5">
        <v>3238.61</v>
      </c>
      <c r="C23" s="1" t="s">
        <v>15</v>
      </c>
    </row>
    <row r="24">
      <c r="A24" s="4">
        <v>46346.0</v>
      </c>
      <c r="B24" s="5">
        <v>5078.21</v>
      </c>
      <c r="C24" s="1" t="s">
        <v>15</v>
      </c>
    </row>
    <row r="25">
      <c r="A25" s="4">
        <v>46346.0</v>
      </c>
      <c r="B25" s="5">
        <v>923.26</v>
      </c>
      <c r="C25" s="1" t="s">
        <v>15</v>
      </c>
    </row>
    <row r="26">
      <c r="A26" s="4">
        <v>46351.0</v>
      </c>
      <c r="B26" s="5">
        <v>8920.0</v>
      </c>
      <c r="C26" s="1" t="s">
        <v>15</v>
      </c>
    </row>
    <row r="27">
      <c r="A27" s="4">
        <v>46351.0</v>
      </c>
      <c r="B27" s="5">
        <v>1601.27</v>
      </c>
      <c r="C27" s="1" t="s">
        <v>15</v>
      </c>
    </row>
    <row r="28">
      <c r="A28" s="4">
        <v>46352.0</v>
      </c>
      <c r="B28" s="5">
        <v>1442.59</v>
      </c>
      <c r="C28" s="1" t="s">
        <v>15</v>
      </c>
    </row>
    <row r="29">
      <c r="A29" s="4">
        <v>46353.0</v>
      </c>
      <c r="B29" s="5">
        <v>1252.8</v>
      </c>
      <c r="C29" s="1" t="s">
        <v>15</v>
      </c>
    </row>
    <row r="30">
      <c r="A30" s="4">
        <v>46354.0</v>
      </c>
      <c r="B30" s="5">
        <v>6045.3</v>
      </c>
      <c r="C30" s="1" t="s">
        <v>15</v>
      </c>
    </row>
    <row r="31">
      <c r="B31" s="10">
        <f>SUM(B3:B30)</f>
        <v>161105.22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94.43"/>
    <col customWidth="1" min="3" max="3" width="11.14"/>
    <col customWidth="1" min="4" max="5" width="12.57"/>
    <col customWidth="1" min="6" max="6" width="112.71"/>
  </cols>
  <sheetData>
    <row r="1">
      <c r="A1" s="1" t="s">
        <v>44</v>
      </c>
    </row>
    <row r="2">
      <c r="A2" s="28" t="s">
        <v>46</v>
      </c>
      <c r="B2" s="29" t="s">
        <v>47</v>
      </c>
      <c r="C2" s="29" t="s">
        <v>48</v>
      </c>
      <c r="D2" s="29" t="s">
        <v>50</v>
      </c>
      <c r="E2" s="29" t="s">
        <v>51</v>
      </c>
      <c r="F2" s="29" t="s">
        <v>53</v>
      </c>
    </row>
    <row r="3">
      <c r="A3" s="30">
        <v>46354.0</v>
      </c>
      <c r="B3" s="31" t="s">
        <v>54</v>
      </c>
      <c r="C3" s="32">
        <v>37800.0</v>
      </c>
      <c r="D3" s="32">
        <v>0.0</v>
      </c>
      <c r="E3" s="33">
        <f t="shared" ref="E3:E12" si="1">C3-D3</f>
        <v>37800</v>
      </c>
      <c r="F3" s="1" t="s">
        <v>57</v>
      </c>
    </row>
    <row r="4">
      <c r="A4" s="30">
        <v>46339.0</v>
      </c>
      <c r="B4" s="34" t="s">
        <v>59</v>
      </c>
      <c r="C4" s="35">
        <v>70000.0</v>
      </c>
      <c r="D4" s="32">
        <v>35000.0</v>
      </c>
      <c r="E4" s="33">
        <f t="shared" si="1"/>
        <v>35000</v>
      </c>
      <c r="F4" s="1" t="s">
        <v>61</v>
      </c>
    </row>
    <row r="5">
      <c r="A5" s="4">
        <v>46331.0</v>
      </c>
      <c r="B5" s="36" t="s">
        <v>62</v>
      </c>
      <c r="C5" s="5">
        <v>2441328.56</v>
      </c>
      <c r="D5" s="10">
        <v>2372281.23</v>
      </c>
      <c r="E5" s="10">
        <f t="shared" si="1"/>
        <v>69047.33</v>
      </c>
      <c r="F5" s="37" t="s">
        <v>65</v>
      </c>
    </row>
    <row r="6">
      <c r="A6" s="4">
        <v>46333.0</v>
      </c>
      <c r="B6" s="36" t="s">
        <v>66</v>
      </c>
      <c r="C6" s="5">
        <v>199165.23</v>
      </c>
      <c r="D6" s="10">
        <v>199165.25</v>
      </c>
      <c r="E6" s="10">
        <f t="shared" si="1"/>
        <v>-0.01999999999</v>
      </c>
      <c r="F6" s="1" t="s">
        <v>69</v>
      </c>
    </row>
    <row r="7">
      <c r="A7" s="30">
        <v>46339.0</v>
      </c>
      <c r="B7" s="34" t="s">
        <v>70</v>
      </c>
      <c r="C7" s="32">
        <v>166205.0</v>
      </c>
      <c r="D7" s="33">
        <v>175845.0</v>
      </c>
      <c r="E7" s="33">
        <f t="shared" si="1"/>
        <v>-9640</v>
      </c>
      <c r="F7" s="38" t="s">
        <v>71</v>
      </c>
    </row>
    <row r="8">
      <c r="A8" s="30">
        <v>46339.0</v>
      </c>
      <c r="B8" s="31" t="s">
        <v>72</v>
      </c>
      <c r="C8" s="32">
        <v>169884.0</v>
      </c>
      <c r="D8" s="33">
        <v>9414.0</v>
      </c>
      <c r="E8" s="33">
        <f t="shared" si="1"/>
        <v>160470</v>
      </c>
      <c r="F8" s="38" t="s">
        <v>73</v>
      </c>
    </row>
    <row r="9">
      <c r="A9" s="4">
        <v>46338.0</v>
      </c>
      <c r="B9" s="40" t="s">
        <v>74</v>
      </c>
      <c r="C9" s="10">
        <v>434737.91000000003</v>
      </c>
      <c r="D9" s="41">
        <v>410843.14</v>
      </c>
      <c r="E9" s="10">
        <f t="shared" si="1"/>
        <v>23894.77</v>
      </c>
    </row>
    <row r="10">
      <c r="A10" s="4">
        <v>46331.0</v>
      </c>
      <c r="B10" s="40" t="s">
        <v>77</v>
      </c>
      <c r="C10" s="10">
        <v>1654571.43</v>
      </c>
      <c r="D10" s="41">
        <v>1546772.5</v>
      </c>
      <c r="E10" s="10">
        <f t="shared" si="1"/>
        <v>107798.93</v>
      </c>
    </row>
    <row r="11">
      <c r="A11" s="4">
        <v>46331.0</v>
      </c>
      <c r="B11" s="40" t="s">
        <v>79</v>
      </c>
      <c r="C11" s="10">
        <v>1113138.15</v>
      </c>
      <c r="D11" s="41">
        <v>1054813.41</v>
      </c>
      <c r="E11" s="10">
        <f t="shared" si="1"/>
        <v>58324.74</v>
      </c>
    </row>
    <row r="12">
      <c r="A12" s="4">
        <v>46331.0</v>
      </c>
      <c r="B12" s="40" t="s">
        <v>81</v>
      </c>
      <c r="C12" s="10">
        <v>711627.9</v>
      </c>
      <c r="D12" s="41">
        <v>662491.25</v>
      </c>
      <c r="E12" s="10">
        <f t="shared" si="1"/>
        <v>49136.65</v>
      </c>
    </row>
    <row r="13">
      <c r="E13" s="45">
        <f>E12+E11+E10+E9+E8+E7+E6+E5+E4+E3</f>
        <v>531832.4</v>
      </c>
    </row>
    <row r="15">
      <c r="A15" s="46" t="s">
        <v>85</v>
      </c>
    </row>
    <row r="16">
      <c r="B16" s="47" t="s">
        <v>87</v>
      </c>
      <c r="E16" s="41">
        <v>85000.0</v>
      </c>
      <c r="F16" s="48" t="s">
        <v>89</v>
      </c>
    </row>
    <row r="17">
      <c r="B17" s="47" t="s">
        <v>90</v>
      </c>
      <c r="E17" s="41">
        <v>350000.0</v>
      </c>
      <c r="F17" s="48" t="s">
        <v>91</v>
      </c>
    </row>
    <row r="18">
      <c r="B18" s="47" t="s">
        <v>93</v>
      </c>
      <c r="E18" s="41">
        <v>119000.0</v>
      </c>
      <c r="F18" s="48" t="s">
        <v>94</v>
      </c>
    </row>
    <row r="19">
      <c r="B19" s="48" t="s">
        <v>96</v>
      </c>
      <c r="E19" s="41">
        <v>160000.0</v>
      </c>
      <c r="F19" s="1" t="s">
        <v>97</v>
      </c>
    </row>
    <row r="20">
      <c r="E20" s="45">
        <f>SUM(E16:E19)</f>
        <v>714000</v>
      </c>
    </row>
    <row r="21">
      <c r="A21" s="46" t="s">
        <v>100</v>
      </c>
    </row>
    <row r="22">
      <c r="B22" s="47" t="s">
        <v>101</v>
      </c>
      <c r="C22" s="47" t="s">
        <v>102</v>
      </c>
      <c r="D22" s="45">
        <v>317837.0</v>
      </c>
    </row>
    <row r="24">
      <c r="A24" s="46" t="s">
        <v>104</v>
      </c>
    </row>
    <row r="25">
      <c r="B25" s="40" t="s">
        <v>82</v>
      </c>
      <c r="C25" s="4">
        <v>46331.0</v>
      </c>
      <c r="D25" s="45">
        <v>172139.0</v>
      </c>
    </row>
    <row r="28">
      <c r="D28" s="4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2026-08-08T04:00:55Z</dcterms:created>
  <dc:creator>Martin Fagalde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2025-12-04T00:00:00Z</vt:filetime>
  </property>
  <property fmtid="{D5CDD505-2E9C-101B-9397-08002B2CF9AE}" pid="4" name="Creator">
    <vt:lpwstr>Microsoft® Word para Microsoft 365</vt:lpwstr>
  </property>
  <property fmtid="{D5CDD505-2E9C-101B-9397-08002B2CF9AE}" pid="5" name="LastSaved">
    <vt:filetime>2026-08-08T00:00:00Z</vt:filetime>
  </property>
  <property fmtid="{D5CDD505-2E9C-101B-9397-08002B2CF9AE}" pid="6" name="Producer">
    <vt:lpwstr>Microsoft® Word para Microsoft 365</vt:lpwstr>
  </property>
</Properties>
</file>