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.2026" sheetId="1" r:id="rId4"/>
    <sheet state="visible" name="CUOTA SINDICAL" sheetId="2" r:id="rId5"/>
    <sheet state="visible" name="COMISIONES" sheetId="3" r:id="rId6"/>
    <sheet state="visible" name="25413" sheetId="4" r:id="rId7"/>
    <sheet state="visible" name="LA UNION E HIJOS" sheetId="5" r:id="rId8"/>
    <sheet state="visible" name="DIFERENCIAS ENCONTRADAS" sheetId="6" r:id="rId9"/>
  </sheets>
  <definedNames/>
  <calcPr/>
  <extLst>
    <ext uri="GoogleSheetsCustomDataVersion2">
      <go:sheetsCustomData xmlns:go="http://customooxmlschemas.google.com/" r:id="rId10" roundtripDataChecksum="AZ9ZiJIkhpiOgAXEc4c4SitRomcy6NWXv25kZn9Jj6Q="/>
    </ext>
  </extLst>
</workbook>
</file>

<file path=xl/sharedStrings.xml><?xml version="1.0" encoding="utf-8"?>
<sst xmlns="http://schemas.openxmlformats.org/spreadsheetml/2006/main" count="578" uniqueCount="563">
  <si>
    <t>DIFERENCIAS ENTRE LO LOQUIDADO Y LO REALMENTE ABONADO</t>
  </si>
  <si>
    <t>FECHA</t>
  </si>
  <si>
    <t>DETALLE</t>
  </si>
  <si>
    <t>PAGO REALIZADO</t>
  </si>
  <si>
    <t xml:space="preserve">EN LIQUIDACIÓN </t>
  </si>
  <si>
    <t>DIF</t>
  </si>
  <si>
    <t>OBSERVACION</t>
  </si>
  <si>
    <r>
      <rPr>
        <rFont val="Calibri"/>
        <b/>
        <color theme="1"/>
        <sz val="8.0"/>
      </rPr>
      <t>LIQUIDACION DE GASTOS</t>
    </r>
  </si>
  <si>
    <t>SUELDO JUAN</t>
  </si>
  <si>
    <r>
      <rPr>
        <rFont val="Calibri"/>
        <b/>
        <color theme="1"/>
        <sz val="8.0"/>
      </rPr>
      <t>MES DE LIQUIDACIÓN (CIERRE):              FEBRERO 2026                      MES DE VENCIMIENTO DE LA LIQUIDACION:                                                                 MARZO 2026</t>
    </r>
  </si>
  <si>
    <t>IMPORTE DEVENGADO NO REAL (LIQUIDACION MES ANTERIOR $ 1,054,813.41)</t>
  </si>
  <si>
    <r>
      <rPr>
        <rFont val="Calibri"/>
        <b/>
        <color rgb="FF000000"/>
        <sz val="8.0"/>
      </rPr>
      <t xml:space="preserve">ADMINISTRACIÓN                                                              CONSORCIO
</t>
    </r>
    <r>
      <rPr>
        <rFont val="Calibri"/>
        <color rgb="FF000000"/>
        <sz val="8.0"/>
      </rPr>
      <t xml:space="preserve">D&amp;F Administracion                                                           SARMIENTO 356,358,360
</t>
    </r>
    <r>
      <rPr>
        <rFont val="Calibri"/>
        <color rgb="FF000000"/>
        <sz val="8.0"/>
      </rPr>
      <t xml:space="preserve">CUIT: 27-25108998-7                                                          CUIT: 30-71412062-6
</t>
    </r>
    <r>
      <rPr>
        <rFont val="Calibri"/>
        <color rgb="FF000000"/>
        <sz val="8.0"/>
      </rPr>
      <t xml:space="preserve">Matricula: RPAC N° 1772 / RPA N° 17517                              SARMIENTO 356 -360 - Lomas de Zamora (Bs. As.) Telefonos: 4742-6085 / 1167867049 / 1168939477                CLAVE SUTERH:
</t>
    </r>
    <r>
      <rPr>
        <rFont val="Calibri"/>
        <color rgb="FF000000"/>
        <sz val="8.0"/>
      </rPr>
      <t xml:space="preserve">Bynnon 1686 - Adrogue (1846)
</t>
    </r>
    <r>
      <rPr>
        <rFont val="Calibri"/>
        <color rgb="FF000000"/>
        <sz val="8.0"/>
      </rPr>
      <t>Mail: dyfadmconsorcios@gmail.com</t>
    </r>
  </si>
  <si>
    <t>SUELDO JAVIER</t>
  </si>
  <si>
    <t>IMPORTE DEVENGADO NO REAL (LIQUIDACION MES ANTERIOR $ 662,491.25) SE DEPOSITARON 20000 DE MAS</t>
  </si>
  <si>
    <t>SUELDO RAMIREZ</t>
  </si>
  <si>
    <t>IMPORTE DEVENGADO NO REAL (LIQUIDACION MES ANTERIOR $ 745,574.00) SE DEPOSITARON 58023 DE MENOS</t>
  </si>
  <si>
    <t>AGUINALDO  JUAN</t>
  </si>
  <si>
    <t>IMPORTE LIQUIDADO EN EL MES ANTERIOR CON PROVISION TOTAL MENOR AL REAL - AUNQUE EL PAGO CORRESPONDE LA RECAUDACION FUE MENOR</t>
  </si>
  <si>
    <t>AGUINALDO JAVIER</t>
  </si>
  <si>
    <r>
      <rPr>
        <rFont val="Calibri"/>
        <b/>
        <color rgb="FF000000"/>
        <sz val="12.0"/>
      </rPr>
      <t xml:space="preserve">Estado de cuentas y prorrateo
</t>
    </r>
    <r>
      <rPr>
        <rFont val="Calibri"/>
        <b/>
        <color rgb="FF000000"/>
        <sz val="11.0"/>
      </rPr>
      <t>PERIODO FEBRERO 2025                                                   VENCIMIENTO 15/03/2026</t>
    </r>
  </si>
  <si>
    <r>
      <rPr>
        <rFont val="Calibri"/>
        <b/>
        <color theme="1"/>
        <sz val="11.0"/>
      </rPr>
      <t>Tasa de interés: 7,90%</t>
    </r>
  </si>
  <si>
    <t>AGUINALDO RAMIREZ</t>
  </si>
  <si>
    <r>
      <rPr>
        <rFont val="Calibri"/>
        <b/>
        <color theme="1"/>
        <sz val="10.0"/>
      </rPr>
      <t>UF</t>
    </r>
  </si>
  <si>
    <r>
      <rPr>
        <rFont val="Calibri"/>
        <b/>
        <color theme="1"/>
        <sz val="10.0"/>
      </rPr>
      <t>DEPTO</t>
    </r>
  </si>
  <si>
    <t>CARGAS SOCIALES</t>
  </si>
  <si>
    <r>
      <rPr>
        <rFont val="Calibri"/>
        <b/>
        <color theme="1"/>
        <sz val="10.0"/>
      </rPr>
      <t>PROPIETARIOS</t>
    </r>
  </si>
  <si>
    <r>
      <rPr>
        <rFont val="Calibri"/>
        <b/>
        <color theme="1"/>
        <sz val="10.0"/>
      </rPr>
      <t>PORCENTUAL</t>
    </r>
  </si>
  <si>
    <r>
      <rPr>
        <rFont val="Calibri"/>
        <b/>
        <color theme="1"/>
        <sz val="10.0"/>
      </rPr>
      <t>SALDO ANTERIOR</t>
    </r>
  </si>
  <si>
    <t>IMPORTE DEVENGADO NO REAL (LIQUIDACION MES ANTERIOR $ 1,546,772.50)</t>
  </si>
  <si>
    <t>FED ARG DE TRAB</t>
  </si>
  <si>
    <r>
      <rPr>
        <rFont val="Calibri"/>
        <b/>
        <color theme="1"/>
        <sz val="10.0"/>
      </rPr>
      <t>PAGOS</t>
    </r>
  </si>
  <si>
    <r>
      <rPr>
        <rFont val="Calibri"/>
        <b/>
        <color theme="1"/>
        <sz val="10.0"/>
      </rPr>
      <t>SALDO</t>
    </r>
  </si>
  <si>
    <t>IMPORTE DEVENGADO NO REAL (LIQUIDACION MES ANTERIOR CON COMPROBANTES EN EL MES ANTERIOR)</t>
  </si>
  <si>
    <t>SIND UN TRAB REN</t>
  </si>
  <si>
    <r>
      <rPr>
        <rFont val="Calibri"/>
        <b/>
        <color theme="1"/>
        <sz val="10.0"/>
      </rPr>
      <t>1°A - 356</t>
    </r>
  </si>
  <si>
    <t>FED ARG TRAB REN</t>
  </si>
  <si>
    <r>
      <rPr>
        <rFont val="Calibri"/>
        <b/>
        <color theme="1"/>
        <sz val="10.0"/>
      </rPr>
      <t>SEVERINO</t>
    </r>
  </si>
  <si>
    <t>LA UNION E HIJOS SRL</t>
  </si>
  <si>
    <t>COMPRA DE PINTURA CUOATA 01/02</t>
  </si>
  <si>
    <t>SE LIQUIDO UN GASTO EXTRAORDINARIO MUY SUPERIOR A LO FINALMENTE FACTURADO Y ESTA RECAUDACIÓN NO FUE INCLUIDA EN EL RESUMEN DE FDR QUE IBAN DESTINADOS A PINTURA, MIENTRAS QUE LOS GASTOS SI ESTAN DETALLADOS.</t>
  </si>
  <si>
    <t>CLEANNIG SERVICE - MATERIALES DE LIMPIEZA</t>
  </si>
  <si>
    <t>SEGUN ESTO SE ABONO POR MENOS, AUNQUE EL COMPROBANTE NO ES VÁLIDO COMO FACTURA. TENEMOS LA FACTURA?</t>
  </si>
  <si>
    <t>SEGURIDAD NOVIEMBRE 2025 FACTURA N° 00002-0044</t>
  </si>
  <si>
    <r>
      <rPr>
        <rFont val="Calibri"/>
        <b/>
        <color theme="1"/>
        <sz val="10.0"/>
      </rPr>
      <t>1°C - 356</t>
    </r>
  </si>
  <si>
    <r>
      <rPr>
        <rFont val="Calibri"/>
        <b/>
        <color theme="1"/>
        <sz val="10.0"/>
      </rPr>
      <t>FERNANDEZ</t>
    </r>
  </si>
  <si>
    <t>LIQUIDADO SIN PAGO REGISTRADO EN CUENTA</t>
  </si>
  <si>
    <r>
      <rPr>
        <rFont val="Calibri"/>
        <color theme="1"/>
        <sz val="10.0"/>
      </rPr>
      <t>$         -</t>
    </r>
  </si>
  <si>
    <r>
      <rPr>
        <rFont val="Calibri"/>
        <color theme="1"/>
        <sz val="8.0"/>
      </rPr>
      <t>YPF CICLOS</t>
    </r>
  </si>
  <si>
    <r>
      <rPr>
        <rFont val="Calibri"/>
        <color theme="1"/>
        <sz val="8.0"/>
      </rPr>
      <t>COMPRA DE COMBUSTIBLE FACT Nro 00011-53269</t>
    </r>
  </si>
  <si>
    <t>COMPROBANTE CON FECHA 14/10 21:25</t>
  </si>
  <si>
    <r>
      <rPr>
        <rFont val="Calibri"/>
        <b/>
        <color theme="1"/>
        <sz val="10.0"/>
      </rPr>
      <t>1°B - 356</t>
    </r>
  </si>
  <si>
    <r>
      <rPr>
        <rFont val="Calibri"/>
        <color theme="1"/>
        <sz val="8.0"/>
      </rPr>
      <t>YPF CICLOS</t>
    </r>
  </si>
  <si>
    <r>
      <rPr>
        <rFont val="Calibri"/>
        <color theme="1"/>
        <sz val="8.0"/>
      </rPr>
      <t>COMPRA DE COMBUTIBLR FACT.Nro 0001-53270</t>
    </r>
  </si>
  <si>
    <r>
      <rPr>
        <rFont val="Calibri"/>
        <b/>
        <color theme="1"/>
        <sz val="10.0"/>
      </rPr>
      <t>ALVAREZ MARIA INES</t>
    </r>
  </si>
  <si>
    <t>COMPROBANTE CON FECHA 14/10 21:27</t>
  </si>
  <si>
    <t>ASCENSORES GUILLEMI</t>
  </si>
  <si>
    <t>Mantenimiento ascensores DICIEMBRE</t>
  </si>
  <si>
    <t>FACTURA DE 120000 FECHA 5/1</t>
  </si>
  <si>
    <r>
      <rPr>
        <rFont val="Calibri"/>
        <color theme="1"/>
        <sz val="10.0"/>
      </rPr>
      <t>$         -</t>
    </r>
  </si>
  <si>
    <t>FOTOCOPIAS DE EXPENSAS NOVIEMBRE</t>
  </si>
  <si>
    <t>SIN COMPROBANTE</t>
  </si>
  <si>
    <r>
      <rPr>
        <rFont val="Calibri"/>
        <b/>
        <color theme="1"/>
        <sz val="10.0"/>
      </rPr>
      <t>1°A - 360</t>
    </r>
  </si>
  <si>
    <r>
      <rPr>
        <rFont val="Calibri"/>
        <b/>
        <color theme="1"/>
        <sz val="10.0"/>
      </rPr>
      <t>PERRI</t>
    </r>
  </si>
  <si>
    <t>PAGO REGISTRADOS QUE NO FIGURAN EN ESTRACTO Y SI CONSIDERA LA ADMINISTRACIÓN</t>
  </si>
  <si>
    <t>CALOGNE RICARDO</t>
  </si>
  <si>
    <r>
      <rPr>
        <rFont val="Calibri"/>
        <color theme="1"/>
        <sz val="10.0"/>
      </rPr>
      <t>$         -</t>
    </r>
  </si>
  <si>
    <t>9°A - 356</t>
  </si>
  <si>
    <r>
      <rPr>
        <rFont val="Calibri"/>
        <b/>
        <color theme="1"/>
        <sz val="10.0"/>
      </rPr>
      <t>1°C - 360</t>
    </r>
  </si>
  <si>
    <r>
      <rPr>
        <rFont val="Calibri"/>
        <b/>
        <color theme="1"/>
        <sz val="10.0"/>
      </rPr>
      <t>BONFANTI SANDRA</t>
    </r>
  </si>
  <si>
    <t>GASTOS NO LIQUIDADOS QUE FUERON DEBITADOS DE CUENTA</t>
  </si>
  <si>
    <t>RAFAEL MOREL ROMAN</t>
  </si>
  <si>
    <t>CON RECIBI FECHA 5/12</t>
  </si>
  <si>
    <t>PUESTO EN ESE RESUMEN DE FDR MAL COMPUTADO</t>
  </si>
  <si>
    <t>LUIS DE LA PAS PAVON</t>
  </si>
  <si>
    <t>SIN NINGUN COMPROBANTE EN ESTE MES</t>
  </si>
  <si>
    <t>ENTIENDO QUE PAGARON LA DIFERENCIA LIQUIDADA EL MES PASADO EN ESTE MES SALDANDO EL ERROR MARCADO EL MES ANTERIOR</t>
  </si>
  <si>
    <r>
      <rPr>
        <rFont val="Calibri"/>
        <b/>
        <color theme="1"/>
        <sz val="10.0"/>
      </rPr>
      <t>1°B - 360</t>
    </r>
  </si>
  <si>
    <t>CON RECIBI FECHA 12/12</t>
  </si>
  <si>
    <r>
      <rPr>
        <rFont val="Calibri"/>
        <b/>
        <color theme="1"/>
        <sz val="10.0"/>
      </rPr>
      <t>MAGLIOLO SILVIA</t>
    </r>
  </si>
  <si>
    <t>CON RECIBI FECHA 18/12</t>
  </si>
  <si>
    <t>CON RECIBI FECHA 29/12</t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</si>
  <si>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</si>
  <si>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2°A - 356</t>
    </r>
  </si>
  <si>
    <r>
      <rPr>
        <rFont val="Calibri"/>
        <b/>
        <color theme="1"/>
        <sz val="10.0"/>
      </rPr>
      <t>MALDAJAN</t>
    </r>
  </si>
  <si>
    <r>
      <rPr>
        <rFont val="Calibri"/>
        <b/>
        <color theme="1"/>
        <sz val="10.0"/>
      </rPr>
      <t>2°C - 356</t>
    </r>
  </si>
  <si>
    <r>
      <rPr>
        <rFont val="Calibri"/>
        <b/>
        <color theme="1"/>
        <sz val="10.0"/>
      </rPr>
      <t>CARROSO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</si>
  <si>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</si>
  <si>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2°B - 356</t>
    </r>
  </si>
  <si>
    <r>
      <rPr>
        <rFont val="Calibri"/>
        <b/>
        <color theme="1"/>
        <sz val="10.0"/>
      </rPr>
      <t>BLAUSTEIN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</si>
  <si>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</si>
  <si>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2°A - 360</t>
    </r>
  </si>
  <si>
    <r>
      <rPr>
        <rFont val="Calibri"/>
        <b/>
        <color theme="1"/>
        <sz val="10.0"/>
      </rPr>
      <t>LOPARDO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</si>
  <si>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</si>
  <si>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2°C - 360</t>
    </r>
  </si>
  <si>
    <r>
      <rPr>
        <rFont val="Calibri"/>
        <b/>
        <color theme="1"/>
        <sz val="10.0"/>
      </rPr>
      <t>MENA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</si>
  <si>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</si>
  <si>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2°B - 360</t>
    </r>
  </si>
  <si>
    <r>
      <rPr>
        <rFont val="Calibri"/>
        <b/>
        <color theme="1"/>
        <sz val="10.0"/>
      </rPr>
      <t>PUMA ROSA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</si>
  <si>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</si>
  <si>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3°A - 356</t>
    </r>
  </si>
  <si>
    <r>
      <rPr>
        <rFont val="Calibri"/>
        <b/>
        <color theme="1"/>
        <sz val="10.0"/>
      </rPr>
      <t>GRIMM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</si>
  <si>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</si>
  <si>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3°C - 356</t>
    </r>
  </si>
  <si>
    <r>
      <rPr>
        <rFont val="Calibri"/>
        <b/>
        <color theme="1"/>
        <sz val="10.0"/>
      </rPr>
      <t>GRIMM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</si>
  <si>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</si>
  <si>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3°B - 356</t>
    </r>
  </si>
  <si>
    <r>
      <rPr>
        <rFont val="Calibri"/>
        <b/>
        <color theme="1"/>
        <sz val="10.0"/>
      </rPr>
      <t>FERNANDEZ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</si>
  <si>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</si>
  <si>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3°A - 360</t>
    </r>
  </si>
  <si>
    <r>
      <rPr>
        <rFont val="Calibri"/>
        <b/>
        <color theme="1"/>
        <sz val="10.0"/>
      </rPr>
      <t>IANELLO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</si>
  <si>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</si>
  <si>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3°C - 360</t>
    </r>
  </si>
  <si>
    <r>
      <rPr>
        <rFont val="Calibri"/>
        <b/>
        <color theme="1"/>
        <sz val="10.0"/>
      </rPr>
      <t>MUSACCHIO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</si>
  <si>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</si>
  <si>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3°B - 360</t>
    </r>
  </si>
  <si>
    <r>
      <rPr>
        <rFont val="Calibri"/>
        <b/>
        <color theme="1"/>
        <sz val="10.0"/>
      </rPr>
      <t>ROMBOUTS DIETER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</si>
  <si>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</si>
  <si>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4°A - 356</t>
    </r>
  </si>
  <si>
    <r>
      <rPr>
        <rFont val="Calibri"/>
        <b/>
        <color theme="1"/>
        <sz val="10.0"/>
      </rPr>
      <t>RIONEGRO CARLOS ALBERTO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</si>
  <si>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</si>
  <si>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4°C - 356</t>
    </r>
  </si>
  <si>
    <r>
      <rPr>
        <rFont val="Calibri"/>
        <b/>
        <color theme="1"/>
        <sz val="10.0"/>
      </rPr>
      <t>GIANOLA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</si>
  <si>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</si>
  <si>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4°B - 356</t>
    </r>
  </si>
  <si>
    <r>
      <rPr>
        <rFont val="Calibri"/>
        <b/>
        <color theme="1"/>
        <sz val="10.0"/>
      </rPr>
      <t>FRANCO</t>
    </r>
  </si>
  <si>
    <r>
      <rPr>
        <rFont val="Calibri"/>
        <color rgb="FFFF0000"/>
        <sz val="10.0"/>
      </rPr>
      <t>$         -</t>
    </r>
  </si>
  <si>
    <r>
      <rPr>
        <rFont val="Calibri"/>
        <b/>
        <color theme="1"/>
        <sz val="10.0"/>
      </rPr>
      <t>4°A - 360</t>
    </r>
  </si>
  <si>
    <r>
      <rPr>
        <rFont val="Calibri"/>
        <b/>
        <color theme="1"/>
        <sz val="10.0"/>
      </rPr>
      <t>DOMINGUEZ OSVALDO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</si>
  <si>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</si>
  <si>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4°C - 360</t>
    </r>
  </si>
  <si>
    <r>
      <rPr>
        <rFont val="Calibri"/>
        <b/>
        <color theme="1"/>
        <sz val="10.0"/>
      </rPr>
      <t>CALANDRA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</si>
  <si>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</si>
  <si>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4°B - 360</t>
    </r>
  </si>
  <si>
    <r>
      <rPr>
        <rFont val="Calibri"/>
        <b/>
        <color theme="1"/>
        <sz val="10.0"/>
      </rPr>
      <t>TAKEDA LAURA NANCY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</si>
  <si>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</si>
  <si>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5°A - 356</t>
    </r>
  </si>
  <si>
    <r>
      <rPr>
        <rFont val="Calibri"/>
        <b/>
        <color theme="1"/>
        <sz val="10.0"/>
      </rPr>
      <t>SUAREZ PATRICIO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</si>
  <si>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</si>
  <si>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5°C - 356</t>
    </r>
  </si>
  <si>
    <r>
      <rPr>
        <rFont val="Calibri"/>
        <b/>
        <color theme="1"/>
        <sz val="10.0"/>
      </rPr>
      <t>LANATI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</si>
  <si>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</si>
  <si>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5°B - 356</t>
    </r>
  </si>
  <si>
    <r>
      <rPr>
        <rFont val="Calibri"/>
        <b/>
        <color theme="1"/>
        <sz val="10.0"/>
      </rPr>
      <t>NIBALI AGUSTINA DENISE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</si>
  <si>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</si>
  <si>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5°A - 360</t>
    </r>
  </si>
  <si>
    <r>
      <rPr>
        <rFont val="Calibri"/>
        <b/>
        <color theme="1"/>
        <sz val="10.0"/>
      </rPr>
      <t>FLOLASCO SILVINA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</si>
  <si>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</si>
  <si>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5°C - 360</t>
    </r>
  </si>
  <si>
    <r>
      <rPr>
        <rFont val="Calibri"/>
        <b/>
        <color theme="1"/>
        <sz val="10.0"/>
      </rPr>
      <t>PUMAR RICARDO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</si>
  <si>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</si>
  <si>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5°B - 360</t>
    </r>
  </si>
  <si>
    <r>
      <rPr>
        <rFont val="Calibri"/>
        <b/>
        <color theme="1"/>
        <sz val="10.0"/>
      </rPr>
      <t>JAIMES MARISA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</si>
  <si>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</si>
  <si>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6°A - 356</t>
    </r>
  </si>
  <si>
    <r>
      <rPr>
        <rFont val="Calibri"/>
        <b/>
        <color theme="1"/>
        <sz val="10.0"/>
      </rPr>
      <t>FIORENZA ROSARIO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</si>
  <si>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</si>
  <si>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6°C - 356</t>
    </r>
  </si>
  <si>
    <r>
      <rPr>
        <rFont val="Calibri"/>
        <b/>
        <color theme="1"/>
        <sz val="10.0"/>
      </rPr>
      <t>JUIZ K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</si>
  <si>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</si>
  <si>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6°B - 356</t>
    </r>
  </si>
  <si>
    <r>
      <rPr>
        <rFont val="Calibri"/>
        <b/>
        <color theme="1"/>
        <sz val="10.0"/>
      </rPr>
      <t>DELGADO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</si>
  <si>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</si>
  <si>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6°A - 360</t>
    </r>
  </si>
  <si>
    <r>
      <rPr>
        <rFont val="Calibri"/>
        <b/>
        <color theme="1"/>
        <sz val="10.0"/>
      </rPr>
      <t>IGLESIAS</t>
    </r>
  </si>
  <si>
    <r>
      <rPr>
        <rFont val="Calibri"/>
        <color rgb="FFFF0000"/>
        <sz val="10.0"/>
      </rPr>
      <t>$         -</t>
    </r>
  </si>
  <si>
    <r>
      <rPr>
        <rFont val="Calibri"/>
        <b/>
        <color theme="1"/>
        <sz val="10.0"/>
      </rPr>
      <t>6°C - 360</t>
    </r>
  </si>
  <si>
    <r>
      <rPr>
        <rFont val="Calibri"/>
        <b/>
        <color theme="1"/>
        <sz val="10.0"/>
      </rPr>
      <t>FAPSA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</si>
  <si>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</si>
  <si>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6°B - 360</t>
    </r>
  </si>
  <si>
    <r>
      <rPr>
        <rFont val="Calibri"/>
        <b/>
        <color theme="1"/>
        <sz val="10.0"/>
      </rPr>
      <t>GIANCASPRO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</si>
  <si>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</si>
  <si>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7°A - 356</t>
    </r>
  </si>
  <si>
    <r>
      <rPr>
        <rFont val="Calibri"/>
        <b/>
        <color theme="1"/>
        <sz val="10.0"/>
      </rPr>
      <t>FIORENZA ROSARIO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</si>
  <si>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</si>
  <si>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7°C - 356</t>
    </r>
  </si>
  <si>
    <r>
      <rPr>
        <rFont val="Calibri"/>
        <b/>
        <color theme="1"/>
        <sz val="10.0"/>
      </rPr>
      <t>ANTON RICARDO ENRIQUE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</si>
  <si>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</si>
  <si>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7°B - 356</t>
    </r>
  </si>
  <si>
    <r>
      <rPr>
        <rFont val="Calibri"/>
        <b/>
        <color theme="1"/>
        <sz val="10.0"/>
      </rPr>
      <t>FRANQUEIRA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</si>
  <si>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</si>
  <si>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7°A - 360</t>
    </r>
  </si>
  <si>
    <r>
      <rPr>
        <rFont val="Calibri"/>
        <b/>
        <color theme="1"/>
        <sz val="10.0"/>
      </rPr>
      <t>BAL MARICEL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</si>
  <si>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</si>
  <si>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7°C - 360</t>
    </r>
  </si>
  <si>
    <r>
      <rPr>
        <rFont val="Calibri"/>
        <b/>
        <color theme="1"/>
        <sz val="10.0"/>
      </rPr>
      <t>CASTRO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</si>
  <si>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</si>
  <si>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7°B - 360</t>
    </r>
  </si>
  <si>
    <r>
      <rPr>
        <rFont val="Calibri"/>
        <b/>
        <color theme="1"/>
        <sz val="10.0"/>
      </rPr>
      <t>DEL RIO ANDREA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</si>
  <si>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</si>
  <si>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8°A - 356</t>
    </r>
  </si>
  <si>
    <r>
      <rPr>
        <rFont val="Calibri"/>
        <b/>
        <color theme="1"/>
        <sz val="10.0"/>
      </rPr>
      <t>SIMON PABLO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</si>
  <si>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</si>
  <si>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8°C - 356</t>
    </r>
  </si>
  <si>
    <r>
      <rPr>
        <rFont val="Calibri"/>
        <b/>
        <color theme="1"/>
        <sz val="10.0"/>
      </rPr>
      <t>RAAD J. F.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</si>
  <si>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</si>
  <si>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8°B - 356</t>
    </r>
  </si>
  <si>
    <r>
      <rPr>
        <rFont val="Calibri"/>
        <b/>
        <color theme="1"/>
        <sz val="10.0"/>
      </rPr>
      <t>PONZIO FACUNDO TOMAS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</si>
  <si>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</si>
  <si>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8°A - 360</t>
    </r>
  </si>
  <si>
    <r>
      <rPr>
        <rFont val="Calibri"/>
        <b/>
        <color theme="1"/>
        <sz val="10.0"/>
      </rPr>
      <t>DURRUTY - VAZQUEZ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</si>
  <si>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</si>
  <si>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8°C - 360</t>
    </r>
  </si>
  <si>
    <r>
      <rPr>
        <rFont val="Calibri"/>
        <b/>
        <color theme="1"/>
        <sz val="10.0"/>
      </rPr>
      <t>CICCONE-ROSSI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</si>
  <si>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</si>
  <si>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8°B - 360</t>
    </r>
  </si>
  <si>
    <r>
      <rPr>
        <rFont val="Calibri"/>
        <b/>
        <color theme="1"/>
        <sz val="10.0"/>
      </rPr>
      <t>MALLAMACE MARTA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</si>
  <si>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</si>
  <si>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9°A - 356</t>
    </r>
  </si>
  <si>
    <r>
      <rPr>
        <rFont val="Calibri"/>
        <b/>
        <color theme="1"/>
        <sz val="10.0"/>
      </rPr>
      <t>CALONGE RICARDO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</si>
  <si>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</si>
  <si>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9°B - 356</t>
    </r>
  </si>
  <si>
    <r>
      <rPr>
        <rFont val="Calibri"/>
        <b/>
        <color theme="1"/>
        <sz val="10.0"/>
      </rPr>
      <t>TOSAR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</si>
  <si>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</si>
  <si>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9°A - 360</t>
    </r>
  </si>
  <si>
    <r>
      <rPr>
        <rFont val="Calibri"/>
        <b/>
        <color theme="1"/>
        <sz val="10.0"/>
      </rPr>
      <t>FAPSA</t>
    </r>
  </si>
  <si>
    <r>
      <rPr>
        <rFont val="Calibri"/>
        <b/>
        <color theme="1"/>
        <sz val="10.0"/>
      </rPr>
      <t>9°B - 360</t>
    </r>
  </si>
  <si>
    <r>
      <rPr>
        <rFont val="Calibri"/>
        <b/>
        <color theme="1"/>
        <sz val="10.0"/>
      </rPr>
      <t>FAPSA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</si>
  <si>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</si>
  <si>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10°A - 356</t>
    </r>
  </si>
  <si>
    <r>
      <rPr>
        <rFont val="Calibri"/>
        <b/>
        <color theme="1"/>
        <sz val="10.0"/>
      </rPr>
      <t>RICCI - ROLDAN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</si>
  <si>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</si>
  <si>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10°B - 356</t>
    </r>
  </si>
  <si>
    <r>
      <rPr>
        <rFont val="Calibri"/>
        <b/>
        <color theme="1"/>
        <sz val="10.0"/>
      </rPr>
      <t>PRIMAVERA</t>
    </r>
  </si>
  <si>
    <r>
      <rPr>
        <rFont val="Calibri"/>
        <color rgb="FFFF0000"/>
        <sz val="10.0"/>
      </rPr>
      <t>$         -</t>
    </r>
  </si>
  <si>
    <r>
      <rPr>
        <rFont val="Calibri"/>
        <b/>
        <color theme="1"/>
        <sz val="10.0"/>
      </rPr>
      <t>10°A - 360</t>
    </r>
  </si>
  <si>
    <r>
      <rPr>
        <rFont val="Calibri"/>
        <b/>
        <color theme="1"/>
        <sz val="10.0"/>
      </rPr>
      <t>MARTYNIUK</t>
    </r>
  </si>
  <si>
    <r>
      <rPr>
        <rFont val="Calibri"/>
        <b/>
        <color theme="1"/>
        <sz val="10.0"/>
      </rPr>
      <t>10°B - 360</t>
    </r>
  </si>
  <si>
    <r>
      <rPr>
        <rFont val="Calibri"/>
        <b/>
        <color theme="1"/>
        <sz val="10.0"/>
      </rPr>
      <t>GINES DEBORA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</si>
  <si>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</si>
  <si>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11°A - 356</t>
    </r>
  </si>
  <si>
    <r>
      <rPr>
        <rFont val="Calibri"/>
        <b/>
        <color theme="1"/>
        <sz val="10.0"/>
      </rPr>
      <t>ASSETTA ANA MARIA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</si>
  <si>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</si>
  <si>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11°B - 356</t>
    </r>
  </si>
  <si>
    <r>
      <rPr>
        <rFont val="Calibri"/>
        <b/>
        <color theme="1"/>
        <sz val="10.0"/>
      </rPr>
      <t>PRIMAVERA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</si>
  <si>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</si>
  <si>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11°A - 360</t>
    </r>
  </si>
  <si>
    <r>
      <rPr>
        <rFont val="Calibri"/>
        <b/>
        <color theme="1"/>
        <sz val="10.0"/>
      </rPr>
      <t>MARTYNIUK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</si>
  <si>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</si>
  <si>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11°B - 360</t>
    </r>
  </si>
  <si>
    <r>
      <rPr>
        <rFont val="Calibri"/>
        <b/>
        <color theme="1"/>
        <sz val="10.0"/>
      </rPr>
      <t>VILLAR</t>
    </r>
  </si>
  <si>
    <r>
      <rPr>
        <rFont val="Calibri"/>
        <b/>
        <color theme="1"/>
        <sz val="10.0"/>
      </rPr>
      <t>12°A - 356</t>
    </r>
  </si>
  <si>
    <r>
      <rPr>
        <rFont val="Calibri"/>
        <b/>
        <color theme="1"/>
        <sz val="10.0"/>
      </rPr>
      <t>FERNANDEZ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</si>
  <si>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</si>
  <si>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12°B - 356</t>
    </r>
  </si>
  <si>
    <r>
      <rPr>
        <rFont val="Calibri"/>
        <b/>
        <color theme="1"/>
        <sz val="10.0"/>
      </rPr>
      <t>LAGANA OSCAR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</si>
  <si>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</si>
  <si>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12°A - 360</t>
    </r>
  </si>
  <si>
    <r>
      <rPr>
        <rFont val="Calibri"/>
        <b/>
        <color theme="1"/>
        <sz val="10.0"/>
      </rPr>
      <t>VILELA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</si>
  <si>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</si>
  <si>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12°B - 360</t>
    </r>
  </si>
  <si>
    <r>
      <rPr>
        <rFont val="Calibri"/>
        <b/>
        <color theme="1"/>
        <sz val="10.0"/>
      </rPr>
      <t>MARTINIELLO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</si>
  <si>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</si>
  <si>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13°A - 356</t>
    </r>
  </si>
  <si>
    <r>
      <rPr>
        <rFont val="Calibri"/>
        <b/>
        <color theme="1"/>
        <sz val="10.0"/>
      </rPr>
      <t>GAVELINI FEDERICO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</si>
  <si>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</si>
  <si>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13°B - 356</t>
    </r>
  </si>
  <si>
    <r>
      <rPr>
        <rFont val="Calibri"/>
        <b/>
        <color theme="1"/>
        <sz val="10.0"/>
      </rPr>
      <t>SEDAME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</si>
  <si>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</si>
  <si>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13°A - 360</t>
    </r>
  </si>
  <si>
    <r>
      <rPr>
        <rFont val="Calibri"/>
        <b/>
        <color theme="1"/>
        <sz val="10.0"/>
      </rPr>
      <t>BRUNO SANDRA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</si>
  <si>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</si>
  <si>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13°B - 360</t>
    </r>
  </si>
  <si>
    <r>
      <rPr>
        <rFont val="Calibri"/>
        <b/>
        <color theme="1"/>
        <sz val="10.0"/>
      </rPr>
      <t>QUENARDELLE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</si>
  <si>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</si>
  <si>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14°A - 356</t>
    </r>
  </si>
  <si>
    <r>
      <rPr>
        <rFont val="Calibri"/>
        <b/>
        <color theme="1"/>
        <sz val="10.0"/>
      </rPr>
      <t>VELAYOS CELINA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</si>
  <si>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</si>
  <si>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14°A - 360</t>
    </r>
  </si>
  <si>
    <r>
      <rPr>
        <rFont val="Calibri"/>
        <b/>
        <color theme="1"/>
        <sz val="10.0"/>
      </rPr>
      <t>STEVEN PUTZ</t>
    </r>
  </si>
  <si>
    <r>
      <rPr>
        <rFont val="Calibri"/>
        <color theme="1"/>
        <sz val="10.0"/>
      </rPr>
      <t>$         -</t>
    </r>
  </si>
  <si>
    <r>
      <rPr>
        <rFont val="Calibri"/>
        <b/>
        <color theme="1"/>
        <sz val="10.0"/>
      </rPr>
      <t>TOTALES</t>
    </r>
  </si>
  <si>
    <r>
      <rPr>
        <rFont val="Calibri"/>
        <b/>
        <color theme="1"/>
        <sz val="10.0"/>
      </rPr>
      <t>Estado de propietarios morosos</t>
    </r>
  </si>
  <si>
    <r>
      <rPr>
        <rFont val="Calibri"/>
        <b/>
        <color theme="1"/>
        <sz val="8.0"/>
      </rPr>
      <t>UF</t>
    </r>
  </si>
  <si>
    <r>
      <rPr>
        <rFont val="Calibri"/>
        <b/>
        <color theme="1"/>
        <sz val="8.0"/>
      </rPr>
      <t>DEPTO</t>
    </r>
  </si>
  <si>
    <r>
      <rPr>
        <rFont val="Calibri"/>
        <b/>
        <color theme="1"/>
        <sz val="8.0"/>
      </rPr>
      <t>CONSORCISTA</t>
    </r>
  </si>
  <si>
    <r>
      <rPr>
        <rFont val="Calibri"/>
        <b/>
        <color theme="1"/>
        <sz val="8.0"/>
      </rPr>
      <t>DEUDA</t>
    </r>
  </si>
  <si>
    <r>
      <rPr>
        <rFont val="Calibri"/>
        <b/>
        <color theme="1"/>
        <sz val="8.0"/>
      </rPr>
      <t>1°A - 356</t>
    </r>
  </si>
  <si>
    <r>
      <rPr>
        <rFont val="Calibri"/>
        <b/>
        <color theme="1"/>
        <sz val="8.0"/>
      </rPr>
      <t>SEVERINO</t>
    </r>
  </si>
  <si>
    <r>
      <rPr>
        <rFont val="Calibri"/>
        <b/>
        <color theme="1"/>
        <sz val="8.0"/>
      </rPr>
      <t>1°C - 360</t>
    </r>
  </si>
  <si>
    <r>
      <rPr>
        <rFont val="Calibri"/>
        <b/>
        <color theme="1"/>
        <sz val="8.0"/>
      </rPr>
      <t>BONFANTI SANDRA</t>
    </r>
  </si>
  <si>
    <r>
      <rPr>
        <rFont val="Calibri"/>
        <b/>
        <color theme="1"/>
        <sz val="8.0"/>
      </rPr>
      <t>3°C - 360</t>
    </r>
  </si>
  <si>
    <r>
      <rPr>
        <rFont val="Calibri"/>
        <b/>
        <color theme="1"/>
        <sz val="8.0"/>
      </rPr>
      <t>MUSACCHIO</t>
    </r>
  </si>
  <si>
    <r>
      <rPr>
        <rFont val="Calibri"/>
        <b/>
        <color theme="1"/>
        <sz val="8.0"/>
      </rPr>
      <t>5°C - 356</t>
    </r>
  </si>
  <si>
    <r>
      <rPr>
        <rFont val="Calibri"/>
        <b/>
        <color theme="1"/>
        <sz val="8.0"/>
      </rPr>
      <t>LANATI</t>
    </r>
  </si>
  <si>
    <r>
      <rPr>
        <rFont val="Calibri"/>
        <b/>
        <color theme="1"/>
        <sz val="8.0"/>
      </rPr>
      <t>5°B - 360</t>
    </r>
  </si>
  <si>
    <r>
      <rPr>
        <rFont val="Calibri"/>
        <b/>
        <color theme="1"/>
        <sz val="8.0"/>
      </rPr>
      <t>JAIMES MARISA</t>
    </r>
  </si>
  <si>
    <r>
      <rPr>
        <rFont val="Calibri"/>
        <b/>
        <color theme="1"/>
        <sz val="8.0"/>
      </rPr>
      <t>7°C - 360</t>
    </r>
  </si>
  <si>
    <r>
      <rPr>
        <rFont val="Calibri"/>
        <b/>
        <color theme="1"/>
        <sz val="8.0"/>
      </rPr>
      <t>CASTRO</t>
    </r>
  </si>
  <si>
    <r>
      <rPr>
        <rFont val="Calibri"/>
        <b/>
        <color theme="1"/>
        <sz val="8.0"/>
      </rPr>
      <t>8°B - 356</t>
    </r>
  </si>
  <si>
    <r>
      <rPr>
        <rFont val="Calibri"/>
        <b/>
        <color theme="1"/>
        <sz val="8.0"/>
      </rPr>
      <t>PONZIO FACUNDO TOMAS</t>
    </r>
  </si>
  <si>
    <r>
      <rPr>
        <rFont val="Calibri"/>
        <b/>
        <color theme="1"/>
        <sz val="8.0"/>
      </rPr>
      <t>8°C - 360</t>
    </r>
  </si>
  <si>
    <r>
      <rPr>
        <rFont val="Calibri"/>
        <b/>
        <color theme="1"/>
        <sz val="8.0"/>
      </rPr>
      <t>CICCONE-ROSSI</t>
    </r>
  </si>
  <si>
    <r>
      <rPr>
        <rFont val="Calibri"/>
        <b/>
        <color theme="1"/>
        <sz val="8.0"/>
      </rPr>
      <t>9°A - 360</t>
    </r>
  </si>
  <si>
    <r>
      <rPr>
        <rFont val="Calibri"/>
        <b/>
        <color theme="1"/>
        <sz val="8.0"/>
      </rPr>
      <t>FAPSA</t>
    </r>
  </si>
  <si>
    <r>
      <rPr>
        <rFont val="Calibri"/>
        <b/>
        <color theme="1"/>
        <sz val="8.0"/>
      </rPr>
      <t>10°A - 360</t>
    </r>
  </si>
  <si>
    <r>
      <rPr>
        <rFont val="Calibri"/>
        <b/>
        <color theme="1"/>
        <sz val="8.0"/>
      </rPr>
      <t>MARTYNIUK</t>
    </r>
  </si>
  <si>
    <r>
      <rPr>
        <rFont val="Calibri"/>
        <b/>
        <color theme="1"/>
        <sz val="8.0"/>
      </rPr>
      <t>11°A - 360</t>
    </r>
  </si>
  <si>
    <r>
      <rPr>
        <rFont val="Calibri"/>
        <b/>
        <color theme="1"/>
        <sz val="8.0"/>
      </rPr>
      <t>MARTYNIUK</t>
    </r>
  </si>
  <si>
    <r>
      <rPr>
        <rFont val="Calibri"/>
        <b/>
        <color theme="1"/>
        <sz val="8.0"/>
      </rPr>
      <t>11°B - 360</t>
    </r>
  </si>
  <si>
    <r>
      <rPr>
        <rFont val="Calibri"/>
        <b/>
        <color theme="1"/>
        <sz val="8.0"/>
      </rPr>
      <t>VILLAR</t>
    </r>
  </si>
  <si>
    <r>
      <rPr>
        <rFont val="Calibri"/>
        <b/>
        <color theme="1"/>
        <sz val="8.0"/>
      </rPr>
      <t>TOTAL</t>
    </r>
  </si>
  <si>
    <r>
      <rPr>
        <rFont val="Calibri"/>
        <b/>
        <color theme="1"/>
        <sz val="7.0"/>
      </rPr>
      <t>GASTOS ORDINARIOS DEL PERÍODO (SUMINISTROS, SERVICIOS, ABONOS Y SEGUROS)</t>
    </r>
  </si>
  <si>
    <r>
      <rPr>
        <rFont val="Calibri"/>
        <b/>
        <color rgb="FF404040"/>
        <sz val="7.0"/>
      </rPr>
      <t>REMUNERACIONES DEL PERSONAL</t>
    </r>
  </si>
  <si>
    <r>
      <rPr>
        <rFont val="Calibri"/>
        <b/>
        <color rgb="FF404040"/>
        <sz val="7.0"/>
      </rPr>
      <t>GASTOS COMUNES</t>
    </r>
  </si>
  <si>
    <r>
      <rPr>
        <rFont val="Calibri"/>
        <b/>
        <color rgb="FF404040"/>
        <sz val="7.0"/>
      </rPr>
      <t xml:space="preserve">% DEL GASTO
</t>
    </r>
    <r>
      <rPr>
        <rFont val="Calibri"/>
        <b/>
        <color rgb="FF404040"/>
        <sz val="7.0"/>
      </rPr>
      <t>TOTAL</t>
    </r>
  </si>
  <si>
    <r>
      <rPr>
        <rFont val="Calibri"/>
        <color theme="1"/>
        <sz val="7.0"/>
      </rPr>
      <t>BUSTAMANTE JUAN MANUEL - ENCARGADO PERMANTENTE SIN VIVIENDA 4ta CATEGORIA.</t>
    </r>
  </si>
  <si>
    <r>
      <rPr>
        <rFont val="Calibri"/>
        <color theme="1"/>
        <sz val="7.0"/>
      </rPr>
      <t>CUIL: 20-13606437-2 - MES LIQUIDADO: FEBRERO 2026</t>
    </r>
  </si>
  <si>
    <r>
      <rPr>
        <rFont val="Calibri"/>
        <color theme="1"/>
        <sz val="7.0"/>
      </rPr>
      <t>SUELDO/ JORNAL</t>
    </r>
  </si>
  <si>
    <r>
      <rPr>
        <rFont val="Calibri"/>
        <color theme="1"/>
        <sz val="7.0"/>
      </rPr>
      <t>ANTIGÜEDAD</t>
    </r>
  </si>
  <si>
    <r>
      <rPr>
        <rFont val="Calibri"/>
        <color theme="1"/>
        <sz val="7.0"/>
      </rPr>
      <t>ADICICIONAL FEB-26</t>
    </r>
  </si>
  <si>
    <r>
      <rPr>
        <rFont val="Calibri"/>
        <color theme="1"/>
        <sz val="7.0"/>
      </rPr>
      <t>RETIRO DE RESIDUOS</t>
    </r>
  </si>
  <si>
    <r>
      <rPr>
        <rFont val="Calibri"/>
        <color theme="1"/>
        <sz val="7.0"/>
      </rPr>
      <t>PLUS LIMPIEZA COCHERA</t>
    </r>
  </si>
  <si>
    <r>
      <rPr>
        <rFont val="Calibri"/>
        <color theme="1"/>
        <sz val="7.0"/>
      </rPr>
      <t>PLUS JARDIN</t>
    </r>
  </si>
  <si>
    <r>
      <rPr>
        <rFont val="Calibri"/>
        <color theme="1"/>
        <sz val="7.0"/>
      </rPr>
      <t>PLUS VACACIONAL</t>
    </r>
  </si>
  <si>
    <r>
      <rPr>
        <rFont val="Calibri"/>
        <color theme="1"/>
        <sz val="7.0"/>
      </rPr>
      <t>VIATICOS</t>
    </r>
  </si>
  <si>
    <r>
      <rPr>
        <rFont val="Calibri"/>
        <color theme="1"/>
        <sz val="7.0"/>
      </rPr>
      <t>JUBILACION 11%</t>
    </r>
  </si>
  <si>
    <r>
      <rPr>
        <rFont val="Calibri"/>
        <color theme="1"/>
        <sz val="7.0"/>
      </rPr>
      <t>INSSJP 3%</t>
    </r>
  </si>
  <si>
    <r>
      <rPr>
        <rFont val="Calibri"/>
        <color theme="1"/>
        <sz val="7.0"/>
      </rPr>
      <t>OBRA SOCIAL 3 %</t>
    </r>
  </si>
  <si>
    <r>
      <rPr>
        <rFont val="Calibri"/>
        <color theme="1"/>
        <sz val="7.0"/>
      </rPr>
      <t>FATERYH 1 %</t>
    </r>
  </si>
  <si>
    <r>
      <rPr>
        <rFont val="Calibri"/>
        <color theme="1"/>
        <sz val="7.0"/>
      </rPr>
      <t>FONDO PROTECCION FAMILIAR</t>
    </r>
  </si>
  <si>
    <r>
      <rPr>
        <rFont val="Calibri"/>
        <color theme="1"/>
        <sz val="7.0"/>
      </rPr>
      <t>CUOTA SINDICAL 2 %</t>
    </r>
  </si>
  <si>
    <r>
      <rPr>
        <rFont val="Calibri"/>
        <color theme="1"/>
        <sz val="7.0"/>
      </rPr>
      <t>FATERYH Art.19 Bis CCT</t>
    </r>
  </si>
  <si>
    <r>
      <rPr>
        <rFont val="Calibri"/>
        <color theme="1"/>
        <sz val="7.0"/>
      </rPr>
      <t>FATERYH ART 27BIS 0,75%</t>
    </r>
  </si>
  <si>
    <r>
      <rPr>
        <rFont val="Calibri"/>
        <color theme="1"/>
        <sz val="7.0"/>
      </rPr>
      <t>TOTALES</t>
    </r>
  </si>
  <si>
    <r>
      <rPr>
        <rFont val="Calibri"/>
        <color theme="1"/>
        <sz val="7.0"/>
      </rPr>
      <t>BUSTAMANTE VICTOR JAVIER - ENCARGADO NO PERMANTENTE SIN VIVIENDA 4ta CATEGORIA.</t>
    </r>
  </si>
  <si>
    <r>
      <rPr>
        <rFont val="Calibri"/>
        <color theme="1"/>
        <sz val="7.0"/>
      </rPr>
      <t>CUIL: 20-27737820-6 - MES LIQUIDADO: FEBRERO 2026</t>
    </r>
  </si>
  <si>
    <r>
      <rPr>
        <rFont val="Calibri"/>
        <color theme="1"/>
        <sz val="7.0"/>
      </rPr>
      <t>SUELDO/ JORNAL</t>
    </r>
  </si>
  <si>
    <r>
      <rPr>
        <rFont val="Calibri"/>
        <color theme="1"/>
        <sz val="7.0"/>
      </rPr>
      <t>ANTIGÜEDAD</t>
    </r>
  </si>
  <si>
    <r>
      <rPr>
        <rFont val="Calibri"/>
        <color theme="1"/>
        <sz val="7.0"/>
      </rPr>
      <t>RETIRO DE RESIDUOS</t>
    </r>
  </si>
  <si>
    <r>
      <rPr>
        <rFont val="Calibri"/>
        <color theme="1"/>
        <sz val="7.0"/>
      </rPr>
      <t>PLUS LIMPIEZA COCHERA</t>
    </r>
  </si>
  <si>
    <r>
      <rPr>
        <rFont val="Calibri"/>
        <color theme="1"/>
        <sz val="7.0"/>
      </rPr>
      <t>PLUS JARDIN</t>
    </r>
  </si>
  <si>
    <r>
      <rPr>
        <rFont val="Calibri"/>
        <color theme="1"/>
        <sz val="7.0"/>
      </rPr>
      <t>ADICIONAL FEBRERO 26</t>
    </r>
  </si>
  <si>
    <r>
      <rPr>
        <rFont val="Calibri"/>
        <color theme="1"/>
        <sz val="7.0"/>
      </rPr>
      <t>FERIADO</t>
    </r>
  </si>
  <si>
    <r>
      <rPr>
        <rFont val="Calibri"/>
        <color theme="1"/>
        <sz val="7.0"/>
      </rPr>
      <t>VIATICOS (SEPT Y OCT)</t>
    </r>
  </si>
  <si>
    <r>
      <rPr>
        <rFont val="Calibri"/>
        <color theme="1"/>
        <sz val="7.0"/>
      </rPr>
      <t>JUBILACION 11%</t>
    </r>
  </si>
  <si>
    <r>
      <rPr>
        <rFont val="Calibri"/>
        <color theme="1"/>
        <sz val="7.0"/>
      </rPr>
      <t>INSSJP 3%</t>
    </r>
  </si>
  <si>
    <r>
      <rPr>
        <rFont val="Calibri"/>
        <color theme="1"/>
        <sz val="7.0"/>
      </rPr>
      <t>OBRA SOCIAL 3 %</t>
    </r>
  </si>
  <si>
    <r>
      <rPr>
        <rFont val="Calibri"/>
        <color theme="1"/>
        <sz val="7.0"/>
      </rPr>
      <t>FATERYH 1 %</t>
    </r>
  </si>
  <si>
    <r>
      <rPr>
        <rFont val="Calibri"/>
        <color theme="1"/>
        <sz val="7.0"/>
      </rPr>
      <t>FONDO PROTECCION FAMILIAR</t>
    </r>
  </si>
  <si>
    <r>
      <rPr>
        <rFont val="Calibri"/>
        <color theme="1"/>
        <sz val="7.0"/>
      </rPr>
      <t>FATERYH Art.19 Bis CCT</t>
    </r>
  </si>
  <si>
    <r>
      <rPr>
        <rFont val="Calibri"/>
        <color theme="1"/>
        <sz val="7.0"/>
      </rPr>
      <t>CUOTA SINDICAL 2 %</t>
    </r>
  </si>
  <si>
    <r>
      <rPr>
        <rFont val="Calibri"/>
        <color theme="1"/>
        <sz val="7.0"/>
      </rPr>
      <t>FATERYH ART 27BIS 0,75%</t>
    </r>
  </si>
  <si>
    <r>
      <rPr>
        <rFont val="Calibri"/>
        <color theme="1"/>
        <sz val="7.0"/>
      </rPr>
      <t>TOTALES</t>
    </r>
  </si>
  <si>
    <r>
      <rPr>
        <rFont val="Calibri"/>
        <color theme="1"/>
        <sz val="7.0"/>
      </rPr>
      <t>RAMIREZ GUILLERMO ALBERTO - PERSONAL VIGILANCIA NOCTURNA</t>
    </r>
  </si>
  <si>
    <r>
      <rPr>
        <rFont val="Calibri"/>
        <color theme="1"/>
        <sz val="7.0"/>
      </rPr>
      <t>CUIL: 20-2014502487-1 - MES LIQUIDADO: FEBRERO 2026</t>
    </r>
  </si>
  <si>
    <r>
      <rPr>
        <rFont val="Calibri"/>
        <color theme="1"/>
        <sz val="7.0"/>
      </rPr>
      <t>SUELDO/ JORNAL</t>
    </r>
  </si>
  <si>
    <r>
      <rPr>
        <rFont val="Calibri"/>
        <color theme="1"/>
        <sz val="7.0"/>
      </rPr>
      <t>ANTIGÜEDAD</t>
    </r>
  </si>
  <si>
    <r>
      <rPr>
        <rFont val="Calibri"/>
        <color theme="1"/>
        <sz val="7.0"/>
      </rPr>
      <t>FERIADO</t>
    </r>
  </si>
  <si>
    <r>
      <rPr>
        <rFont val="Calibri"/>
        <color theme="1"/>
        <sz val="7.0"/>
      </rPr>
      <t>ADICIONAL FEBRERO 2026</t>
    </r>
  </si>
  <si>
    <r>
      <rPr>
        <rFont val="Calibri"/>
        <color theme="1"/>
        <sz val="7.0"/>
      </rPr>
      <t>VIATICOS</t>
    </r>
  </si>
  <si>
    <r>
      <rPr>
        <rFont val="Calibri"/>
        <color theme="1"/>
        <sz val="7.0"/>
      </rPr>
      <t>JUBILACION 11%</t>
    </r>
  </si>
  <si>
    <r>
      <rPr>
        <rFont val="Calibri"/>
        <color theme="1"/>
        <sz val="7.0"/>
      </rPr>
      <t>INSSJP 3%</t>
    </r>
  </si>
  <si>
    <r>
      <rPr>
        <rFont val="Calibri"/>
        <color theme="1"/>
        <sz val="7.0"/>
      </rPr>
      <t>OBRA SOCIAL 3 %</t>
    </r>
  </si>
  <si>
    <r>
      <rPr>
        <rFont val="Calibri"/>
        <color theme="1"/>
        <sz val="7.0"/>
      </rPr>
      <t>FATERYH 1 %</t>
    </r>
  </si>
  <si>
    <r>
      <rPr>
        <rFont val="Calibri"/>
        <color theme="1"/>
        <sz val="7.0"/>
      </rPr>
      <t>FONDO PROTECCION FAMILIAR</t>
    </r>
  </si>
  <si>
    <r>
      <rPr>
        <rFont val="Calibri"/>
        <color theme="1"/>
        <sz val="7.0"/>
      </rPr>
      <t>FATERYH Art. 19 Bis CCT</t>
    </r>
  </si>
  <si>
    <r>
      <rPr>
        <rFont val="Calibri"/>
        <color theme="1"/>
        <sz val="7.0"/>
      </rPr>
      <t>CUOTA SINDICAL 2 %</t>
    </r>
  </si>
  <si>
    <r>
      <rPr>
        <rFont val="Calibri"/>
        <color theme="1"/>
        <sz val="7.0"/>
      </rPr>
      <t>FATERYH ART 27BIS 0,75%</t>
    </r>
  </si>
  <si>
    <r>
      <rPr>
        <rFont val="Calibri"/>
        <color theme="1"/>
        <sz val="7.0"/>
      </rPr>
      <t>TOTALES</t>
    </r>
  </si>
  <si>
    <r>
      <rPr>
        <rFont val="Calibri"/>
        <color theme="1"/>
        <sz val="7.0"/>
      </rPr>
      <t>REEMPLAZO DEL SR BUSTAMANTE JAVIER</t>
    </r>
  </si>
  <si>
    <r>
      <rPr>
        <rFont val="Calibri"/>
        <b/>
        <color theme="1"/>
        <sz val="7.0"/>
      </rPr>
      <t>Total rubro:</t>
    </r>
  </si>
  <si>
    <r>
      <rPr>
        <rFont val="Calibri"/>
        <b/>
        <color rgb="FF404040"/>
        <sz val="7.0"/>
      </rPr>
      <t>CARGAS SOCIALES</t>
    </r>
  </si>
  <si>
    <r>
      <rPr>
        <rFont val="Calibri"/>
        <b/>
        <color rgb="FF404040"/>
        <sz val="7.0"/>
      </rPr>
      <t>GASTOS COMUNES</t>
    </r>
  </si>
  <si>
    <r>
      <rPr>
        <rFont val="Calibri"/>
        <color theme="1"/>
        <sz val="7.0"/>
      </rPr>
      <t>CARGAS SOCIALES</t>
    </r>
  </si>
  <si>
    <r>
      <rPr>
        <rFont val="Calibri"/>
        <color theme="1"/>
        <sz val="7.0"/>
      </rPr>
      <t>FEBRERO 2026</t>
    </r>
  </si>
  <si>
    <r>
      <rPr>
        <rFont val="Calibri"/>
        <b/>
        <color theme="1"/>
        <sz val="7.0"/>
      </rPr>
      <t>Total rubro:</t>
    </r>
  </si>
  <si>
    <r>
      <rPr>
        <rFont val="Calibri"/>
        <b/>
        <color rgb="FF404040"/>
        <sz val="8.0"/>
      </rPr>
      <t>APORTES SINDICALES</t>
    </r>
  </si>
  <si>
    <r>
      <rPr>
        <rFont val="Calibri"/>
        <b/>
        <color rgb="FF404040"/>
        <sz val="8.0"/>
      </rPr>
      <t>GASTOS COMUNES</t>
    </r>
  </si>
  <si>
    <r>
      <rPr>
        <rFont val="Calibri"/>
        <color theme="1"/>
        <sz val="8.0"/>
      </rPr>
      <t>CUOTA SINDICAL</t>
    </r>
  </si>
  <si>
    <r>
      <rPr>
        <rFont val="Calibri"/>
        <color theme="1"/>
        <sz val="8.0"/>
      </rPr>
      <t>FEBRERO 2026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</si>
  <si>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</si>
  <si>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SERVICIOS PÚBLICOS Y ABONOS</t>
    </r>
  </si>
  <si>
    <r>
      <rPr>
        <rFont val="Calibri"/>
        <b/>
        <color rgb="FF404040"/>
        <sz val="8.0"/>
      </rPr>
      <t>GASTOS COMUNES</t>
    </r>
  </si>
  <si>
    <r>
      <rPr>
        <rFont val="Calibri"/>
        <color theme="1"/>
        <sz val="8.0"/>
      </rPr>
      <t>AYSA Cliente N°192498</t>
    </r>
  </si>
  <si>
    <r>
      <rPr>
        <rFont val="Calibri"/>
        <color theme="1"/>
        <sz val="8.0"/>
      </rPr>
      <t>FEBRERO 2026</t>
    </r>
  </si>
  <si>
    <r>
      <rPr>
        <rFont val="Calibri"/>
        <color theme="1"/>
        <sz val="8.0"/>
      </rPr>
      <t>AYSA Cliente N°192499</t>
    </r>
  </si>
  <si>
    <r>
      <rPr>
        <rFont val="Calibri"/>
        <color theme="1"/>
        <sz val="8.0"/>
      </rPr>
      <t>FEBRERO 2026</t>
    </r>
  </si>
  <si>
    <r>
      <rPr>
        <rFont val="Calibri"/>
        <color theme="1"/>
        <sz val="8.0"/>
      </rPr>
      <t>AYSA Cliente N°192500</t>
    </r>
  </si>
  <si>
    <r>
      <rPr>
        <rFont val="Calibri"/>
        <color theme="1"/>
        <sz val="8.0"/>
      </rPr>
      <t>FEBRERO 2026</t>
    </r>
  </si>
  <si>
    <r>
      <rPr>
        <rFont val="Calibri"/>
        <color theme="1"/>
        <sz val="8.0"/>
      </rPr>
      <t>EDESUR Cliente N°05637256</t>
    </r>
  </si>
  <si>
    <r>
      <rPr>
        <rFont val="Calibri"/>
        <color theme="1"/>
        <sz val="8.0"/>
      </rPr>
      <t>FEBRERO 2026</t>
    </r>
  </si>
  <si>
    <r>
      <rPr>
        <rFont val="Calibri"/>
        <color theme="1"/>
        <sz val="8.0"/>
      </rPr>
      <t>CABLEVISION FLOW</t>
    </r>
  </si>
  <si>
    <r>
      <rPr>
        <rFont val="Calibri"/>
        <color theme="1"/>
        <sz val="8.0"/>
      </rPr>
      <t>FEBRERO 2026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</si>
  <si>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</si>
  <si>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MANTENIMIENTO PARTES COMUNES</t>
    </r>
  </si>
  <si>
    <r>
      <rPr>
        <rFont val="Calibri"/>
        <b/>
        <color rgb="FF404040"/>
        <sz val="8.0"/>
      </rPr>
      <t>GASTOS A</t>
    </r>
  </si>
  <si>
    <r>
      <rPr>
        <rFont val="Calibri"/>
        <b/>
        <color rgb="FF404040"/>
        <sz val="8.0"/>
      </rPr>
      <t>GASTO EVENTUAL</t>
    </r>
  </si>
  <si>
    <r>
      <rPr>
        <rFont val="Calibri"/>
        <b/>
        <color rgb="FF404040"/>
        <sz val="8.0"/>
      </rPr>
      <t xml:space="preserve">GASTOS
</t>
    </r>
    <r>
      <rPr>
        <rFont val="Calibri"/>
        <b/>
        <color rgb="FF404040"/>
        <sz val="8.0"/>
      </rPr>
      <t>EXTRAORDINARIOS</t>
    </r>
  </si>
  <si>
    <r>
      <rPr>
        <rFont val="Calibri"/>
        <color theme="1"/>
        <sz val="8.0"/>
      </rPr>
      <t>PROTINCEN</t>
    </r>
  </si>
  <si>
    <r>
      <rPr>
        <rFont val="Calibri"/>
        <color theme="1"/>
        <sz val="8.0"/>
      </rPr>
      <t>RECARGADA MATA. FACTURA NRO 005-2862</t>
    </r>
  </si>
  <si>
    <r>
      <rPr>
        <rFont val="Calibri"/>
        <color theme="1"/>
        <sz val="8.0"/>
      </rPr>
      <t>ASCENSORES GUILLEMI</t>
    </r>
  </si>
  <si>
    <r>
      <rPr>
        <rFont val="Calibri"/>
        <color theme="1"/>
        <sz val="8.0"/>
      </rPr>
      <t>MANTENIMIENTO FEBRERO 2026</t>
    </r>
  </si>
  <si>
    <r>
      <rPr>
        <rFont val="Calibri"/>
        <color theme="1"/>
        <sz val="8.0"/>
      </rPr>
      <t>SHELL</t>
    </r>
  </si>
  <si>
    <r>
      <rPr>
        <rFont val="Calibri"/>
        <color theme="1"/>
        <sz val="8.0"/>
      </rPr>
      <t>COMPRA DE COMBUSTIBLE</t>
    </r>
  </si>
  <si>
    <r>
      <rPr>
        <rFont val="Calibri"/>
        <color theme="1"/>
        <sz val="8.0"/>
      </rPr>
      <t>IVESS FOGIONE</t>
    </r>
  </si>
  <si>
    <r>
      <rPr>
        <rFont val="Calibri"/>
        <color theme="1"/>
        <sz val="8.0"/>
      </rPr>
      <t>FACTURA NRO 0003-2623</t>
    </r>
  </si>
  <si>
    <r>
      <rPr>
        <rFont val="Calibri"/>
        <color theme="1"/>
        <sz val="8.0"/>
      </rPr>
      <t>IVESS FOGIONE</t>
    </r>
  </si>
  <si>
    <r>
      <rPr>
        <rFont val="Calibri"/>
        <color theme="1"/>
        <sz val="8.0"/>
      </rPr>
      <t>FACTURA NRO 0003-2623</t>
    </r>
  </si>
  <si>
    <r>
      <rPr>
        <rFont val="Calibri"/>
        <color theme="1"/>
        <sz val="8.0"/>
      </rPr>
      <t>CLEANNIG SERVICE</t>
    </r>
  </si>
  <si>
    <r>
      <rPr>
        <rFont val="Calibri"/>
        <color theme="1"/>
        <sz val="8.0"/>
      </rPr>
      <t>FACTURA NRO 00003-0084 PRODUCTOS LIMPIEZA</t>
    </r>
  </si>
  <si>
    <r>
      <rPr>
        <rFont val="Calibri"/>
        <color theme="1"/>
        <sz val="8.0"/>
      </rPr>
      <t>CLEANNIG SERVICE</t>
    </r>
  </si>
  <si>
    <r>
      <rPr>
        <rFont val="Calibri"/>
        <color theme="1"/>
        <sz val="8.0"/>
      </rPr>
      <t>FACTURA NRO 00003-0083 PRODUCTOS LIMPIEZA</t>
    </r>
  </si>
  <si>
    <r>
      <rPr>
        <rFont val="Calibri"/>
        <color theme="1"/>
        <sz val="8.0"/>
      </rPr>
      <t>FB SANEAMIENTO AMBIENTAL</t>
    </r>
  </si>
  <si>
    <r>
      <rPr>
        <rFont val="Calibri"/>
        <color theme="1"/>
        <sz val="8.0"/>
      </rPr>
      <t>DESINSECTACION FACTURA NRO 00001-1818</t>
    </r>
  </si>
  <si>
    <r>
      <rPr>
        <rFont val="Calibri"/>
        <color theme="1"/>
        <sz val="8.0"/>
      </rPr>
      <t>PAVON RIVEROS LUIS</t>
    </r>
  </si>
  <si>
    <r>
      <rPr>
        <rFont val="Calibri"/>
        <color theme="1"/>
        <sz val="8.0"/>
      </rPr>
      <t>PROVISION PARA PINTURA CONTRAFRENTE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</si>
  <si>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</si>
  <si>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GASTOS BANCARIOS</t>
    </r>
  </si>
  <si>
    <r>
      <rPr>
        <rFont val="Calibri"/>
        <b/>
        <color rgb="FF404040"/>
        <sz val="8.0"/>
      </rPr>
      <t>GASTOS A</t>
    </r>
  </si>
  <si>
    <r>
      <rPr>
        <rFont val="Calibri"/>
        <color theme="1"/>
        <sz val="8.0"/>
      </rPr>
      <t>COMISION DE MANTENIMIENTO, IVA, IIBB</t>
    </r>
  </si>
  <si>
    <r>
      <rPr>
        <rFont val="Calibri"/>
        <color theme="1"/>
        <sz val="8.0"/>
      </rPr>
      <t>LEY 25413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</si>
  <si>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</si>
  <si>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SEGUROS ORDINARIOS</t>
    </r>
  </si>
  <si>
    <r>
      <rPr>
        <rFont val="Calibri"/>
        <b/>
        <color rgb="FF404040"/>
        <sz val="8.0"/>
      </rPr>
      <t>GASTOS A</t>
    </r>
  </si>
  <si>
    <r>
      <rPr>
        <rFont val="Calibri"/>
        <color theme="1"/>
        <sz val="8.0"/>
      </rPr>
      <t>HOLANDO POLIZA N°2000004.5</t>
    </r>
  </si>
  <si>
    <r>
      <rPr>
        <rFont val="Calibri"/>
        <color theme="1"/>
        <sz val="8.0"/>
      </rPr>
      <t>SEGURO INTEGRAL DEL CONSORCIO</t>
    </r>
  </si>
  <si>
    <r>
      <rPr>
        <rFont val="Calibri"/>
        <color theme="1"/>
        <sz val="8.0"/>
      </rPr>
      <t>ALLIANZ GRAL POLIZA</t>
    </r>
  </si>
  <si>
    <r>
      <rPr>
        <rFont val="Calibri"/>
        <color theme="1"/>
        <sz val="8.0"/>
      </rPr>
      <t>SEGURO PERSONAL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</si>
  <si>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</si>
  <si>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SEGURIDAD</t>
    </r>
  </si>
  <si>
    <r>
      <rPr>
        <rFont val="Calibri"/>
        <b/>
        <color rgb="FF404040"/>
        <sz val="8.0"/>
      </rPr>
      <t xml:space="preserve">GASTOS
</t>
    </r>
    <r>
      <rPr>
        <rFont val="Calibri"/>
        <b/>
        <color rgb="FF404040"/>
        <sz val="8.0"/>
      </rPr>
      <t>SEGURIDAD</t>
    </r>
  </si>
  <si>
    <r>
      <rPr>
        <rFont val="Calibri"/>
        <b/>
        <color rgb="FF404040"/>
        <sz val="8.0"/>
      </rPr>
      <t>GASTOS B</t>
    </r>
  </si>
  <si>
    <r>
      <rPr>
        <rFont val="Calibri"/>
        <color theme="1"/>
        <sz val="8.0"/>
      </rPr>
      <t>MM SERVICIOS DE SEGURIDAD</t>
    </r>
  </si>
  <si>
    <r>
      <rPr>
        <rFont val="Calibri"/>
        <color theme="1"/>
        <sz val="8.0"/>
      </rPr>
      <t>SERVICIO DE SEGURIDAD FACTURA NRO 00002-0047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</si>
  <si>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</si>
  <si>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JARDINERIA</t>
    </r>
  </si>
  <si>
    <r>
      <rPr>
        <rFont val="Calibri"/>
        <b/>
        <color rgb="FF404040"/>
        <sz val="8.0"/>
      </rPr>
      <t>GASTOS A</t>
    </r>
  </si>
  <si>
    <r>
      <rPr>
        <rFont val="Calibri"/>
        <b/>
        <color rgb="FF404040"/>
        <sz val="8.0"/>
      </rPr>
      <t>GASTOS B</t>
    </r>
  </si>
  <si>
    <r>
      <rPr>
        <rFont val="Calibri"/>
        <b/>
        <color rgb="FF404040"/>
        <sz val="8.0"/>
      </rPr>
      <t xml:space="preserve">GASTOS
</t>
    </r>
    <r>
      <rPr>
        <rFont val="Calibri"/>
        <b/>
        <color rgb="FF404040"/>
        <sz val="8.0"/>
      </rPr>
      <t>PARTICULARES</t>
    </r>
  </si>
  <si>
    <r>
      <rPr>
        <rFont val="Calibri"/>
        <color theme="1"/>
        <sz val="8.0"/>
      </rPr>
      <t>CHRISTIAN OGAZ</t>
    </r>
  </si>
  <si>
    <r>
      <rPr>
        <rFont val="Calibri"/>
        <color theme="1"/>
        <sz val="8.0"/>
      </rPr>
      <t>CORTE DE CESPED 21/02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</si>
  <si>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</si>
  <si>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GASTOS DE ADMINISTRACION</t>
    </r>
  </si>
  <si>
    <r>
      <rPr>
        <rFont val="Calibri"/>
        <b/>
        <color rgb="FF404040"/>
        <sz val="8.0"/>
      </rPr>
      <t>GASTOS A</t>
    </r>
  </si>
  <si>
    <r>
      <rPr>
        <rFont val="Calibri"/>
        <b/>
        <color rgb="FF404040"/>
        <sz val="8.0"/>
      </rPr>
      <t>GASTOS B</t>
    </r>
  </si>
  <si>
    <r>
      <rPr>
        <rFont val="Calibri"/>
        <b/>
        <color rgb="FF404040"/>
        <sz val="8.0"/>
      </rPr>
      <t>GASTOS PARTICULARES</t>
    </r>
  </si>
  <si>
    <r>
      <rPr>
        <rFont val="Calibri"/>
        <color theme="1"/>
        <sz val="8.0"/>
      </rPr>
      <t>HONORARIOS CONTABLE FACTURA NRO 00002-0900</t>
    </r>
  </si>
  <si>
    <r>
      <rPr>
        <rFont val="Calibri"/>
        <color theme="1"/>
        <sz val="8.0"/>
      </rPr>
      <t>IMPRESIONES EXPENSAS ENERO 2026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</si>
  <si>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</si>
  <si>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HONORARIOS PROFESIONALES</t>
    </r>
  </si>
  <si>
    <r>
      <rPr>
        <rFont val="Calibri"/>
        <b/>
        <color rgb="FF404040"/>
        <sz val="8.0"/>
      </rPr>
      <t>GASTOS A</t>
    </r>
  </si>
  <si>
    <r>
      <rPr>
        <rFont val="Calibri"/>
        <color theme="1"/>
        <sz val="7.0"/>
      </rPr>
      <t>D&amp;F Administracion</t>
    </r>
  </si>
  <si>
    <r>
      <rPr>
        <rFont val="Calibri"/>
        <color theme="1"/>
        <sz val="8.0"/>
      </rPr>
      <t>HONORARIOS FEBRERO 2026 FACTURA NRO 00001-0269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</si>
  <si>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</si>
  <si>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theme="1"/>
        <sz val="8.0"/>
      </rPr>
      <t>SUBTOTALES X GASTOS</t>
    </r>
  </si>
  <si>
    <r>
      <rPr>
        <rFont val="Calibri"/>
        <b/>
        <color theme="1"/>
        <sz val="8.0"/>
      </rPr>
      <t>TOTAL GASTOS ORDINARIOS</t>
    </r>
  </si>
  <si>
    <r>
      <rPr>
        <rFont val="Calibri"/>
        <b/>
        <color rgb="FF404040"/>
        <sz val="10.0"/>
      </rPr>
      <t>COMPOSICIÓN DE ESTADO FINANCIERO CUENTA CORRIENTE BANCO GALICIA</t>
    </r>
  </si>
  <si>
    <r>
      <rPr>
        <rFont val="Calibri"/>
        <b/>
        <color theme="1"/>
        <sz val="10.0"/>
      </rPr>
      <t>SALDO ANTERIOR 30-01-2026</t>
    </r>
  </si>
  <si>
    <r>
      <rPr>
        <rFont val="Calibri"/>
        <color theme="1"/>
        <sz val="10.0"/>
      </rPr>
      <t>INGRESOS DE EXPENSAS (Por Trasferencias)</t>
    </r>
  </si>
  <si>
    <r>
      <rPr>
        <rFont val="Calibri"/>
        <color theme="1"/>
        <sz val="10.0"/>
      </rPr>
      <t>SUELDOS</t>
    </r>
  </si>
  <si>
    <r>
      <rPr>
        <rFont val="Calibri"/>
        <color rgb="FFFF0000"/>
        <sz val="10.0"/>
      </rPr>
      <t>-$</t>
    </r>
  </si>
  <si>
    <r>
      <rPr>
        <rFont val="Calibri"/>
        <color theme="1"/>
        <sz val="10.0"/>
      </rPr>
      <t>ARCA</t>
    </r>
  </si>
  <si>
    <r>
      <rPr>
        <rFont val="Calibri"/>
        <color rgb="FFFF0000"/>
        <sz val="10.0"/>
      </rPr>
      <t>$                -</t>
    </r>
  </si>
  <si>
    <r>
      <rPr>
        <rFont val="Calibri"/>
        <color theme="1"/>
        <sz val="10.0"/>
      </rPr>
      <t>CUOTA SINDICAL</t>
    </r>
  </si>
  <si>
    <r>
      <rPr>
        <rFont val="Calibri"/>
        <color rgb="FFFF0000"/>
        <sz val="10.0"/>
      </rPr>
      <t>-$</t>
    </r>
  </si>
  <si>
    <r>
      <rPr>
        <rFont val="Calibri"/>
        <color theme="1"/>
        <sz val="10.0"/>
      </rPr>
      <t>COMISION PAQUETE + IVA</t>
    </r>
  </si>
  <si>
    <r>
      <rPr>
        <rFont val="Calibri"/>
        <color rgb="FFFF0000"/>
        <sz val="10.0"/>
      </rPr>
      <t>-$</t>
    </r>
  </si>
  <si>
    <r>
      <rPr>
        <rFont val="Calibri"/>
        <color theme="1"/>
        <sz val="10.0"/>
      </rPr>
      <t>SEGUROS</t>
    </r>
  </si>
  <si>
    <r>
      <rPr>
        <rFont val="Calibri"/>
        <color rgb="FFFF0000"/>
        <sz val="10.0"/>
      </rPr>
      <t>-$</t>
    </r>
  </si>
  <si>
    <r>
      <rPr>
        <rFont val="Calibri"/>
        <color theme="1"/>
        <sz val="10.0"/>
      </rPr>
      <t>SERVICIOS</t>
    </r>
  </si>
  <si>
    <r>
      <rPr>
        <rFont val="Calibri"/>
        <color rgb="FFFF0000"/>
        <sz val="10.0"/>
      </rPr>
      <t>-$</t>
    </r>
  </si>
  <si>
    <r>
      <rPr>
        <rFont val="Calibri"/>
        <color theme="1"/>
        <sz val="10.0"/>
      </rPr>
      <t>PROVEEDORES</t>
    </r>
  </si>
  <si>
    <r>
      <rPr>
        <rFont val="Calibri"/>
        <color rgb="FFFF0000"/>
        <sz val="10.0"/>
      </rPr>
      <t>-$</t>
    </r>
  </si>
  <si>
    <r>
      <rPr>
        <rFont val="Calibri"/>
        <color theme="1"/>
        <sz val="10.0"/>
      </rPr>
      <t>IMPUESTO LEY 25413</t>
    </r>
  </si>
  <si>
    <r>
      <rPr>
        <rFont val="Calibri"/>
        <color rgb="FFFF0000"/>
        <sz val="10.0"/>
      </rPr>
      <t>-$</t>
    </r>
  </si>
  <si>
    <r>
      <rPr>
        <rFont val="Calibri"/>
        <b/>
        <color theme="1"/>
        <sz val="10.0"/>
      </rPr>
      <t>SALDO AL CIERRE 27-02-2026</t>
    </r>
  </si>
  <si>
    <r>
      <rPr>
        <rFont val="Calibri"/>
        <b/>
        <color theme="1"/>
        <sz val="8.0"/>
      </rPr>
      <t>PERIODO</t>
    </r>
  </si>
  <si>
    <r>
      <rPr>
        <rFont val="Calibri"/>
        <b/>
        <color theme="1"/>
        <sz val="8.0"/>
      </rPr>
      <t>DESCRIPCION</t>
    </r>
  </si>
  <si>
    <r>
      <rPr>
        <rFont val="Calibri"/>
        <b/>
        <color theme="1"/>
        <sz val="8.0"/>
      </rPr>
      <t>LIQUIDADO</t>
    </r>
  </si>
  <si>
    <r>
      <rPr>
        <rFont val="Calibri"/>
        <b/>
        <color theme="1"/>
        <sz val="8.0"/>
      </rPr>
      <t>RECAUDADO</t>
    </r>
  </si>
  <si>
    <r>
      <rPr>
        <rFont val="Calibri"/>
        <b/>
        <color theme="1"/>
        <sz val="8.0"/>
      </rPr>
      <t>ABONADO</t>
    </r>
  </si>
  <si>
    <r>
      <rPr>
        <rFont val="Calibri"/>
        <b/>
        <color theme="1"/>
        <sz val="8.0"/>
      </rPr>
      <t>FECHA DE PAGO</t>
    </r>
  </si>
  <si>
    <r>
      <rPr>
        <rFont val="Calibri"/>
        <b/>
        <color theme="1"/>
        <sz val="8.0"/>
      </rPr>
      <t>SALDO EN CUENTA AL INICIO DE LA GESTION</t>
    </r>
  </si>
  <si>
    <r>
      <rPr>
        <rFont val="Calibri"/>
        <b/>
        <color theme="1"/>
        <sz val="8.0"/>
      </rPr>
      <t>EXPENSA JULIO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</si>
  <si>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</si>
  <si>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</si>
  <si>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</si>
  <si>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</si>
  <si>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r>
      <rPr>
        <rFont val="Calibri"/>
        <b/>
        <color theme="1"/>
        <sz val="8.0"/>
      </rPr>
      <t>EXPENSA AGOSTO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</si>
  <si>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</si>
  <si>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</si>
  <si>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</si>
  <si>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</si>
  <si>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r>
      <rPr>
        <rFont val="Calibri"/>
        <b/>
        <color theme="1"/>
        <sz val="8.0"/>
      </rPr>
      <t>EXPENSA SEPTIEMBRE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</si>
  <si>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</si>
  <si>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</si>
  <si>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</si>
  <si>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</si>
  <si>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r>
      <rPr>
        <rFont val="Calibri"/>
        <b/>
        <color theme="1"/>
        <sz val="8.0"/>
      </rPr>
      <t>EXPENSA OCTUBRE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</si>
  <si>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</si>
  <si>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</si>
  <si>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</si>
  <si>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</si>
  <si>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r>
      <rPr>
        <rFont val="Calibri"/>
        <b/>
        <color theme="1"/>
        <sz val="8.0"/>
      </rPr>
      <t>EXPENSA NOVIEMBRE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</si>
  <si>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</si>
  <si>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</si>
  <si>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</si>
  <si>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</si>
  <si>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t>NO ABONO NADIE A POSTERIOR SOBRE ESTA DEUDA</t>
  </si>
  <si>
    <r>
      <rPr>
        <rFont val="Calibri"/>
        <b/>
        <color theme="1"/>
        <sz val="8.0"/>
      </rPr>
      <t>EXPENSA DICIEMBRE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</si>
  <si>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</si>
  <si>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</si>
  <si>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rgb="FFFFFFFF"/>
        <sz val="8.0"/>
      </rPr>
      <t>$               -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</si>
  <si>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</si>
  <si>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</si>
  <si>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t>NO SE RECAUDO NADA COMO ES QUE LOS 70 PROPIETARIOS NO ESTAMOS EN MOROSOS POR ESTA DECLARACIÓN</t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</si>
  <si>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</si>
  <si>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</si>
  <si>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  -</t>
    </r>
  </si>
  <si>
    <r>
      <rPr>
        <rFont val="Calibri"/>
        <color theme="1"/>
        <sz val="8.0"/>
      </rPr>
      <t>$               -</t>
    </r>
  </si>
  <si>
    <t>CON RECIBI FALTA LA FACTURA</t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</si>
  <si>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</si>
  <si>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</si>
  <si>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  -</t>
    </r>
  </si>
  <si>
    <r>
      <rPr>
        <rFont val="Calibri"/>
        <color theme="1"/>
        <sz val="8.0"/>
      </rPr>
      <t>$               -</t>
    </r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</si>
  <si>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</si>
  <si>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</si>
  <si>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  -</t>
    </r>
  </si>
  <si>
    <r>
      <rPr>
        <rFont val="Calibri"/>
        <color theme="1"/>
        <sz val="8.0"/>
      </rPr>
      <t>$               -</t>
    </r>
  </si>
  <si>
    <t>CON FACTURA</t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</si>
  <si>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</si>
  <si>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</si>
  <si>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  -</t>
    </r>
  </si>
  <si>
    <r>
      <rPr>
        <rFont val="Calibri"/>
        <color theme="1"/>
        <sz val="8.0"/>
      </rPr>
      <t>$               -</t>
    </r>
  </si>
  <si>
    <r>
      <rPr>
        <rFont val="Calibri"/>
        <color theme="1"/>
        <sz val="8.0"/>
      </rPr>
      <t>UNION E HIJOS</t>
    </r>
  </si>
  <si>
    <r>
      <rPr>
        <rFont val="Calibri"/>
        <color theme="1"/>
        <sz val="8.0"/>
      </rPr>
      <t>COMPRA DE PINTURA</t>
    </r>
  </si>
  <si>
    <r>
      <rPr>
        <rFont val="Calibri"/>
        <color theme="1"/>
        <sz val="8.0"/>
      </rPr>
      <t>$               -</t>
    </r>
  </si>
  <si>
    <r>
      <rPr>
        <rFont val="Calibri"/>
        <color theme="1"/>
        <sz val="8.0"/>
      </rPr>
      <t>$               -</t>
    </r>
  </si>
  <si>
    <t>CON FACTURAS</t>
  </si>
  <si>
    <r>
      <rPr>
        <rFont val="Calibri"/>
        <b/>
        <color theme="1"/>
        <sz val="8.0"/>
      </rPr>
      <t>EXPENSA ENERO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</si>
  <si>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</si>
  <si>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</si>
  <si>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    -</t>
    </r>
  </si>
  <si>
    <r>
      <rPr>
        <rFont val="Calibri"/>
        <color theme="1"/>
        <sz val="8.0"/>
      </rPr>
      <t>N/A</t>
    </r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</si>
  <si>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</si>
  <si>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</si>
  <si>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</si>
  <si>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</si>
  <si>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</si>
  <si>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</si>
  <si>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UNION E HIJOS</t>
    </r>
  </si>
  <si>
    <r>
      <rPr>
        <rFont val="Calibri"/>
        <color theme="1"/>
        <sz val="8.0"/>
      </rPr>
      <t>COMPRA DE PINTURA</t>
    </r>
  </si>
  <si>
    <r>
      <rPr>
        <rFont val="Calibri"/>
        <b/>
        <color theme="1"/>
        <sz val="8.0"/>
      </rPr>
      <t>EXPENSA FEBRERO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</si>
  <si>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</si>
  <si>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CONTRAFRENTE</t>
    </r>
  </si>
  <si>
    <r>
      <rPr>
        <rFont val="Calibri"/>
        <color theme="1"/>
        <sz val="8.0"/>
      </rPr>
      <t>$                  -</t>
    </r>
  </si>
  <si>
    <r>
      <rPr>
        <rFont val="Calibri"/>
        <color theme="1"/>
        <sz val="8.0"/>
      </rPr>
      <t>N/A</t>
    </r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</si>
  <si>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</si>
  <si>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</si>
  <si>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  -</t>
    </r>
  </si>
  <si>
    <r>
      <rPr>
        <rFont val="Calibri"/>
        <color theme="1"/>
        <sz val="8.0"/>
      </rPr>
      <t>$               -</t>
    </r>
  </si>
  <si>
    <r>
      <rPr>
        <rFont val="Calibri"/>
        <b/>
        <color theme="1"/>
        <sz val="8.0"/>
      </rPr>
      <t>TOTALES</t>
    </r>
  </si>
  <si>
    <r>
      <rPr>
        <rFont val="Calibri"/>
        <b/>
        <color theme="1"/>
        <sz val="8.0"/>
      </rPr>
      <t>SALDO AL 27-02-2026</t>
    </r>
  </si>
  <si>
    <t>SIGUE SIN INCLUIRSE LA RECAUDACIÓN DE EXTRAORDINARIAS DE DICIEMBRE O POR 3.500.000 Y LOS 3.500.000 PROVISIONADOS EN ENERO QUE FIGURAN EN LA LIQUIDACIÓN COMO PAGO CUOTA 1 Y 2 DE PINTURAS</t>
  </si>
  <si>
    <r>
      <rPr>
        <rFont val="Calibri"/>
        <b/>
        <color rgb="FF404040"/>
        <sz val="8.0"/>
      </rPr>
      <t>PAGOS NO IDENTIFICADOS</t>
    </r>
  </si>
  <si>
    <r>
      <rPr>
        <rFont val="Calibri"/>
        <b/>
        <color theme="1"/>
        <sz val="8.0"/>
      </rPr>
      <t>FECHA</t>
    </r>
  </si>
  <si>
    <r>
      <rPr>
        <rFont val="Calibri"/>
        <b/>
        <color theme="1"/>
        <sz val="8.0"/>
      </rPr>
      <t>NOMBRE DEPOSITANTE</t>
    </r>
  </si>
  <si>
    <r>
      <rPr>
        <rFont val="Calibri"/>
        <b/>
        <color theme="1"/>
        <sz val="8.0"/>
      </rPr>
      <t>IMPORTE TOTAL</t>
    </r>
  </si>
  <si>
    <r>
      <rPr>
        <rFont val="Calibri"/>
        <color theme="1"/>
        <sz val="8.0"/>
      </rPr>
      <t>Transferencia De Terceros</t>
    </r>
  </si>
  <si>
    <r>
      <rPr>
        <rFont val="Calibri"/>
        <color theme="1"/>
        <sz val="8.0"/>
      </rPr>
      <t>Credito Transferencia Coelsa</t>
    </r>
  </si>
  <si>
    <r>
      <rPr>
        <rFont val="Calibri"/>
        <color theme="1"/>
        <sz val="8.0"/>
      </rPr>
      <t>Transferencia De Terceros</t>
    </r>
  </si>
  <si>
    <r>
      <rPr>
        <rFont val="Calibri"/>
        <color theme="1"/>
        <sz val="8.0"/>
      </rPr>
      <t>Dep.efvo.autoservicio Ticket:  152911</t>
    </r>
  </si>
  <si>
    <r>
      <rPr>
        <rFont val="Calibri"/>
        <b/>
        <color theme="1"/>
        <sz val="8.0"/>
      </rPr>
      <t>TOTALES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</si>
</sst>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/m"/>
    <numFmt numFmtId="165" formatCode="&quot;$&quot;#,##0.00"/>
    <numFmt numFmtId="166" formatCode="$ #,##0.00"/>
    <numFmt numFmtId="167" formatCode="0.000 %"/>
    <numFmt numFmtId="168" formatCode="$ #,##0"/>
    <numFmt numFmtId="169" formatCode="$ #,##0;[Red]$ #,##0"/>
    <numFmt numFmtId="170" formatCode="$ 0;[Red]-$ 0"/>
    <numFmt numFmtId="171" formatCode="0 %"/>
    <numFmt numFmtId="172" formatCode="#,##0.00;[Red]#,##0.00"/>
    <numFmt numFmtId="173" formatCode="d/m/yyyy"/>
  </numFmts>
  <fonts count="27">
    <font>
      <sz val="10.0"/>
      <color rgb="FF000000"/>
      <name val="Times New Roman"/>
      <scheme val="minor"/>
    </font>
    <font>
      <b/>
      <color theme="1"/>
      <name val="Times New Roman"/>
    </font>
    <font>
      <color theme="1"/>
      <name val="Times New Roman"/>
    </font>
    <font>
      <b/>
      <sz val="8.0"/>
      <color theme="1"/>
      <name val="Calibri"/>
    </font>
    <font/>
    <font>
      <color rgb="FF990000"/>
      <name val="Times New Roman"/>
    </font>
    <font>
      <u/>
      <sz val="10.0"/>
      <color rgb="FF000000"/>
      <name val="Times New Roman"/>
    </font>
    <font>
      <sz val="10.0"/>
      <color rgb="FF000000"/>
      <name val="Times New Roman"/>
    </font>
    <font>
      <b/>
      <sz val="11.0"/>
      <color theme="1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0.0"/>
      <color rgb="FFFF0000"/>
      <name val="Calibri"/>
    </font>
    <font>
      <sz val="10.0"/>
      <color theme="1"/>
      <name val="Calibri"/>
    </font>
    <font>
      <color rgb="FFE06666"/>
      <name val="Times New Roman"/>
    </font>
    <font>
      <color rgb="FFCC0000"/>
      <name val="Times New Roman"/>
    </font>
    <font>
      <b/>
      <sz val="8.0"/>
      <color rgb="FF000000"/>
      <name val="Calibri"/>
    </font>
    <font>
      <b/>
      <sz val="8.0"/>
      <color rgb="FFFF0000"/>
      <name val="Calibri"/>
    </font>
    <font>
      <b/>
      <sz val="7.0"/>
      <color theme="1"/>
      <name val="Calibri"/>
    </font>
    <font>
      <sz val="7.0"/>
      <color theme="1"/>
      <name val="Calibri"/>
    </font>
    <font>
      <sz val="7.0"/>
      <color rgb="FF000000"/>
      <name val="Calibri"/>
    </font>
    <font>
      <b/>
      <sz val="7.0"/>
      <color rgb="FF000000"/>
      <name val="Calibri"/>
    </font>
    <font>
      <sz val="8.0"/>
      <color theme="1"/>
      <name val="Calibri"/>
    </font>
    <font>
      <sz val="8.0"/>
      <color rgb="FF000000"/>
      <name val="Calibri"/>
    </font>
    <font>
      <sz val="8.0"/>
      <color rgb="FFFFFFFF"/>
      <name val="Calibri"/>
    </font>
    <font>
      <sz val="8.0"/>
      <color rgb="FFFF0000"/>
      <name val="Calibri"/>
    </font>
    <font>
      <color rgb="FFCC0000"/>
      <name val="Times New Roman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8CDE4"/>
        <bgColor rgb="FFB8CDE4"/>
      </patternFill>
    </fill>
    <fill>
      <patternFill patternType="solid">
        <fgColor rgb="FFDCE6F1"/>
        <bgColor rgb="FFDCE6F1"/>
      </patternFill>
    </fill>
    <fill>
      <patternFill patternType="solid">
        <fgColor rgb="FFD9E0F1"/>
        <bgColor rgb="FFD9E0F1"/>
      </patternFill>
    </fill>
    <fill>
      <patternFill patternType="solid">
        <fgColor rgb="FFFFFF00"/>
        <bgColor rgb="FFFFFF00"/>
      </patternFill>
    </fill>
    <fill>
      <patternFill patternType="solid">
        <fgColor rgb="FFBEBEBE"/>
        <bgColor rgb="FFBEBEBE"/>
      </patternFill>
    </fill>
    <fill>
      <patternFill patternType="solid">
        <fgColor rgb="FFFFC000"/>
        <bgColor rgb="FFFFC000"/>
      </patternFill>
    </fill>
    <fill>
      <patternFill patternType="solid">
        <fgColor rgb="FF99FFCC"/>
        <bgColor rgb="FF99FFCC"/>
      </patternFill>
    </fill>
    <fill>
      <patternFill patternType="solid">
        <fgColor rgb="FFE06666"/>
        <bgColor rgb="FFE06666"/>
      </patternFill>
    </fill>
    <fill>
      <patternFill patternType="solid">
        <fgColor rgb="FF00FFCC"/>
        <bgColor rgb="FF00FFCC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DFDFDF"/>
      </right>
      <top style="thin">
        <color rgb="FF000000"/>
      </top>
      <bottom style="thin">
        <color rgb="FF000000"/>
      </bottom>
    </border>
    <border>
      <left style="thin">
        <color rgb="FFDFDFD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FDFDF"/>
      </right>
      <top style="thin">
        <color rgb="FF000000"/>
      </top>
      <bottom style="thin">
        <color rgb="FF000000"/>
      </bottom>
    </border>
    <border>
      <left style="thin">
        <color rgb="FFDFDFDF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FFFFFF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FFFFFF"/>
      </bottom>
    </border>
    <border>
      <top/>
      <bottom style="thin">
        <color rgb="FFFFFFFF"/>
      </bottom>
    </border>
    <border>
      <right style="thin">
        <color rgb="FF000000"/>
      </right>
      <top/>
      <bottom style="thin">
        <color rgb="FFFFFFFF"/>
      </bottom>
    </border>
    <border>
      <right style="thin">
        <color rgb="FF000000"/>
      </right>
    </border>
    <border>
      <left style="thin">
        <color rgb="FF000000"/>
      </left>
      <right style="thin">
        <color rgb="FF008000"/>
      </right>
      <top style="thin">
        <color rgb="FF000000"/>
      </top>
      <bottom style="thin">
        <color rgb="FF000000"/>
      </bottom>
    </border>
    <border>
      <left style="thin">
        <color rgb="FF008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0" fillId="0" fontId="2" numFmtId="164" xfId="0" applyAlignment="1" applyFont="1" applyNumberFormat="1">
      <alignment horizontal="left" vertical="top"/>
    </xf>
    <xf borderId="1" fillId="2" fontId="3" numFmtId="0" xfId="0" applyAlignment="1" applyBorder="1" applyFill="1" applyFont="1">
      <alignment horizontal="center" shrinkToFit="0" vertical="top" wrapText="1"/>
    </xf>
    <xf borderId="2" fillId="0" fontId="4" numFmtId="0" xfId="0" applyAlignment="1" applyBorder="1" applyFont="1">
      <alignment horizontal="left" vertical="top"/>
    </xf>
    <xf borderId="0" fillId="0" fontId="2" numFmtId="165" xfId="0" applyAlignment="1" applyFont="1" applyNumberFormat="1">
      <alignment horizontal="right" vertical="top"/>
    </xf>
    <xf borderId="3" fillId="0" fontId="4" numFmtId="0" xfId="0" applyAlignment="1" applyBorder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0" fillId="0" fontId="5" numFmtId="164" xfId="0" applyAlignment="1" applyFont="1" applyNumberFormat="1">
      <alignment horizontal="left" vertical="top"/>
    </xf>
    <xf borderId="0" fillId="0" fontId="5" numFmtId="0" xfId="0" applyAlignment="1" applyFont="1">
      <alignment horizontal="left" vertical="top"/>
    </xf>
    <xf borderId="0" fillId="0" fontId="5" numFmtId="165" xfId="0" applyAlignment="1" applyFont="1" applyNumberFormat="1">
      <alignment horizontal="right" vertical="top"/>
    </xf>
    <xf borderId="1" fillId="0" fontId="6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center" wrapText="1"/>
    </xf>
    <xf borderId="4" fillId="3" fontId="9" numFmtId="0" xfId="0" applyAlignment="1" applyBorder="1" applyFill="1" applyFont="1">
      <alignment horizontal="center" shrinkToFit="0" vertical="top" wrapText="1"/>
    </xf>
    <xf borderId="4" fillId="3" fontId="9" numFmtId="0" xfId="0" applyAlignment="1" applyBorder="1" applyFont="1">
      <alignment horizontal="left" shrinkToFit="0" vertical="top" wrapText="1"/>
    </xf>
    <xf borderId="1" fillId="3" fontId="9" numFmtId="0" xfId="0" applyAlignment="1" applyBorder="1" applyFont="1">
      <alignment horizontal="left" shrinkToFit="0" vertical="top" wrapText="1"/>
    </xf>
    <xf borderId="0" fillId="0" fontId="2" numFmtId="166" xfId="0" applyAlignment="1" applyFont="1" applyNumberFormat="1">
      <alignment horizontal="right" vertical="top"/>
    </xf>
    <xf borderId="1" fillId="3" fontId="9" numFmtId="0" xfId="0" applyAlignment="1" applyBorder="1" applyFont="1">
      <alignment horizontal="center" shrinkToFit="0" vertical="top" wrapText="1"/>
    </xf>
    <xf borderId="4" fillId="0" fontId="10" numFmtId="1" xfId="0" applyAlignment="1" applyBorder="1" applyFont="1" applyNumberFormat="1">
      <alignment horizontal="center" shrinkToFit="1" vertical="top" wrapText="0"/>
    </xf>
    <xf borderId="4" fillId="0" fontId="9" numFmtId="0" xfId="0" applyAlignment="1" applyBorder="1" applyFont="1">
      <alignment horizontal="center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0" fillId="0" fontId="5" numFmtId="166" xfId="0" applyAlignment="1" applyFont="1" applyNumberFormat="1">
      <alignment horizontal="right" vertical="top"/>
    </xf>
    <xf borderId="4" fillId="0" fontId="11" numFmtId="167" xfId="0" applyAlignment="1" applyBorder="1" applyFont="1" applyNumberFormat="1">
      <alignment horizontal="center" shrinkToFit="1" vertical="top" wrapText="0"/>
    </xf>
    <xf borderId="1" fillId="0" fontId="11" numFmtId="168" xfId="0" applyAlignment="1" applyBorder="1" applyFont="1" applyNumberFormat="1">
      <alignment horizontal="center" shrinkToFit="1" vertical="top" wrapText="0"/>
    </xf>
    <xf borderId="1" fillId="0" fontId="12" numFmtId="169" xfId="0" applyAlignment="1" applyBorder="1" applyFont="1" applyNumberFormat="1">
      <alignment horizontal="center" shrinkToFit="1" vertical="top" wrapText="0"/>
    </xf>
    <xf borderId="1" fillId="0" fontId="13" numFmtId="0" xfId="0" applyAlignment="1" applyBorder="1" applyFont="1">
      <alignment horizontal="center" shrinkToFit="0" vertical="top" wrapText="1"/>
    </xf>
    <xf borderId="0" fillId="0" fontId="2" numFmtId="166" xfId="0" applyAlignment="1" applyFont="1" applyNumberFormat="1">
      <alignment horizontal="left" vertical="top"/>
    </xf>
    <xf borderId="0" fillId="0" fontId="2" numFmtId="165" xfId="0" applyAlignment="1" applyFont="1" applyNumberFormat="1">
      <alignment horizontal="left" vertical="top"/>
    </xf>
    <xf borderId="0" fillId="0" fontId="14" numFmtId="166" xfId="0" applyAlignment="1" applyFont="1" applyNumberFormat="1">
      <alignment horizontal="right" vertical="top"/>
    </xf>
    <xf borderId="0" fillId="0" fontId="15" numFmtId="164" xfId="0" applyAlignment="1" applyFont="1" applyNumberFormat="1">
      <alignment horizontal="left" vertical="top"/>
    </xf>
    <xf borderId="0" fillId="0" fontId="15" numFmtId="0" xfId="0" applyAlignment="1" applyFont="1">
      <alignment horizontal="left" vertical="top"/>
    </xf>
    <xf borderId="0" fillId="0" fontId="15" numFmtId="165" xfId="0" applyAlignment="1" applyFont="1" applyNumberFormat="1">
      <alignment horizontal="right" vertical="top"/>
    </xf>
    <xf borderId="1" fillId="0" fontId="12" numFmtId="170" xfId="0" applyAlignment="1" applyBorder="1" applyFont="1" applyNumberFormat="1">
      <alignment horizontal="center" shrinkToFit="1" vertical="top" wrapText="0"/>
    </xf>
    <xf borderId="1" fillId="0" fontId="11" numFmtId="167" xfId="0" applyAlignment="1" applyBorder="1" applyFont="1" applyNumberFormat="1">
      <alignment horizontal="center" shrinkToFit="1" vertical="top" wrapText="0"/>
    </xf>
    <xf borderId="5" fillId="0" fontId="7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vertical="top"/>
    </xf>
    <xf borderId="4" fillId="3" fontId="9" numFmtId="10" xfId="0" applyAlignment="1" applyBorder="1" applyFont="1" applyNumberFormat="1">
      <alignment horizontal="center" shrinkToFit="0" vertical="top" wrapText="1"/>
    </xf>
    <xf borderId="1" fillId="3" fontId="10" numFmtId="168" xfId="0" applyAlignment="1" applyBorder="1" applyFont="1" applyNumberFormat="1">
      <alignment horizontal="center" shrinkToFit="1" vertical="top" wrapText="0"/>
    </xf>
    <xf borderId="0" fillId="0" fontId="9" numFmtId="0" xfId="0" applyAlignment="1" applyFont="1">
      <alignment horizontal="left" shrinkToFit="0" vertical="top" wrapText="1"/>
    </xf>
    <xf borderId="4" fillId="4" fontId="3" numFmtId="0" xfId="0" applyAlignment="1" applyBorder="1" applyFill="1" applyFont="1">
      <alignment horizontal="center" shrinkToFit="0" vertical="top" wrapText="1"/>
    </xf>
    <xf borderId="4" fillId="4" fontId="3" numFmtId="0" xfId="0" applyAlignment="1" applyBorder="1" applyFont="1">
      <alignment horizontal="left" shrinkToFit="0" vertical="top" wrapText="1"/>
    </xf>
    <xf borderId="4" fillId="0" fontId="16" numFmtId="1" xfId="0" applyAlignment="1" applyBorder="1" applyFont="1" applyNumberFormat="1">
      <alignment horizontal="center" shrinkToFit="1" vertical="top" wrapText="0"/>
    </xf>
    <xf borderId="4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4" fillId="0" fontId="17" numFmtId="169" xfId="0" applyAlignment="1" applyBorder="1" applyFont="1" applyNumberFormat="1">
      <alignment horizontal="center" shrinkToFit="1" vertical="top" wrapText="0"/>
    </xf>
    <xf borderId="4" fillId="4" fontId="17" numFmtId="169" xfId="0" applyAlignment="1" applyBorder="1" applyFont="1" applyNumberFormat="1">
      <alignment horizontal="center" shrinkToFit="1" vertical="top" wrapText="0"/>
    </xf>
    <xf borderId="0" fillId="0" fontId="18" numFmtId="0" xfId="0" applyAlignment="1" applyFont="1">
      <alignment horizontal="left" shrinkToFit="0" vertical="top" wrapText="1"/>
    </xf>
    <xf borderId="1" fillId="3" fontId="18" numFmtId="0" xfId="0" applyAlignment="1" applyBorder="1" applyFont="1">
      <alignment horizontal="left" shrinkToFit="0" vertical="top" wrapText="1"/>
    </xf>
    <xf borderId="4" fillId="3" fontId="18" numFmtId="0" xfId="0" applyAlignment="1" applyBorder="1" applyFont="1">
      <alignment horizontal="center" shrinkToFit="0" vertical="top" wrapText="1"/>
    </xf>
    <xf borderId="4" fillId="3" fontId="7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center" shrinkToFit="0" vertical="top" wrapText="1"/>
    </xf>
    <xf borderId="7" fillId="0" fontId="19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vertical="top"/>
    </xf>
    <xf borderId="8" fillId="0" fontId="7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horizontal="left" shrinkToFit="0" vertical="top" wrapText="1"/>
    </xf>
    <xf borderId="9" fillId="0" fontId="19" numFmtId="0" xfId="0" applyAlignment="1" applyBorder="1" applyFont="1">
      <alignment horizontal="left" shrinkToFit="0" vertical="top" wrapText="1"/>
    </xf>
    <xf borderId="10" fillId="0" fontId="4" numFmtId="0" xfId="0" applyAlignment="1" applyBorder="1" applyFont="1">
      <alignment horizontal="left" vertical="top"/>
    </xf>
    <xf borderId="11" fillId="0" fontId="4" numFmtId="0" xfId="0" applyAlignment="1" applyBorder="1" applyFont="1">
      <alignment horizontal="left" vertical="top"/>
    </xf>
    <xf borderId="12" fillId="0" fontId="4" numFmtId="0" xfId="0" applyAlignment="1" applyBorder="1" applyFont="1">
      <alignment horizontal="left" vertical="top"/>
    </xf>
    <xf borderId="13" fillId="0" fontId="4" numFmtId="0" xfId="0" applyAlignment="1" applyBorder="1" applyFont="1">
      <alignment horizontal="left" vertical="top"/>
    </xf>
    <xf borderId="1" fillId="0" fontId="7" numFmtId="0" xfId="0" applyAlignment="1" applyBorder="1" applyFont="1">
      <alignment horizontal="left" shrinkToFit="0" vertical="bottom" wrapText="1"/>
    </xf>
    <xf borderId="4" fillId="0" fontId="7" numFmtId="0" xfId="0" applyAlignment="1" applyBorder="1" applyFont="1">
      <alignment horizontal="left" shrinkToFit="0" vertical="bottom" wrapText="1"/>
    </xf>
    <xf borderId="1" fillId="0" fontId="19" numFmtId="0" xfId="0" applyAlignment="1" applyBorder="1" applyFont="1">
      <alignment horizontal="left" shrinkToFit="0" vertical="top" wrapText="1"/>
    </xf>
    <xf borderId="4" fillId="0" fontId="20" numFmtId="166" xfId="0" applyAlignment="1" applyBorder="1" applyFont="1" applyNumberFormat="1">
      <alignment horizontal="center" shrinkToFit="1" vertical="top" wrapText="0"/>
    </xf>
    <xf borderId="14" fillId="0" fontId="19" numFmtId="0" xfId="0" applyAlignment="1" applyBorder="1" applyFont="1">
      <alignment horizontal="left" shrinkToFit="0" vertical="top" wrapText="1"/>
    </xf>
    <xf borderId="15" fillId="0" fontId="7" numFmtId="0" xfId="0" applyAlignment="1" applyBorder="1" applyFont="1">
      <alignment horizontal="left" shrinkToFit="0" vertical="bottom" wrapText="1"/>
    </xf>
    <xf borderId="16" fillId="0" fontId="4" numFmtId="0" xfId="0" applyAlignment="1" applyBorder="1" applyFont="1">
      <alignment horizontal="left" vertical="top"/>
    </xf>
    <xf borderId="17" fillId="0" fontId="7" numFmtId="0" xfId="0" applyAlignment="1" applyBorder="1" applyFont="1">
      <alignment horizontal="left" shrinkToFit="0" vertical="bottom" wrapText="1"/>
    </xf>
    <xf borderId="2" fillId="0" fontId="18" numFmtId="0" xfId="0" applyAlignment="1" applyBorder="1" applyFont="1">
      <alignment horizontal="left" shrinkToFit="0" vertical="top" wrapText="1"/>
    </xf>
    <xf borderId="3" fillId="0" fontId="21" numFmtId="166" xfId="0" applyAlignment="1" applyBorder="1" applyFont="1" applyNumberFormat="1">
      <alignment horizontal="center" shrinkToFit="1" vertical="top" wrapText="0"/>
    </xf>
    <xf borderId="18" fillId="5" fontId="21" numFmtId="171" xfId="0" applyAlignment="1" applyBorder="1" applyFill="1" applyFont="1" applyNumberFormat="1">
      <alignment horizontal="right" shrinkToFit="1" vertical="top" wrapText="0"/>
    </xf>
    <xf borderId="13" fillId="0" fontId="7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bottom" wrapText="1"/>
    </xf>
    <xf borderId="19" fillId="5" fontId="21" numFmtId="171" xfId="0" applyAlignment="1" applyBorder="1" applyFont="1" applyNumberFormat="1">
      <alignment horizontal="right" shrinkToFit="1" vertical="top" wrapText="0"/>
    </xf>
    <xf borderId="1" fillId="3" fontId="3" numFmtId="0" xfId="0" applyAlignment="1" applyBorder="1" applyFont="1">
      <alignment horizontal="left" shrinkToFit="0" vertical="top" wrapText="1"/>
    </xf>
    <xf borderId="4" fillId="3" fontId="3" numFmtId="0" xfId="0" applyAlignment="1" applyBorder="1" applyFont="1">
      <alignment horizontal="center" shrinkToFit="0" vertical="top" wrapText="1"/>
    </xf>
    <xf borderId="4" fillId="0" fontId="22" numFmtId="0" xfId="0" applyAlignment="1" applyBorder="1" applyFont="1">
      <alignment horizontal="left" shrinkToFit="0" vertical="top" wrapText="1"/>
    </xf>
    <xf borderId="4" fillId="0" fontId="22" numFmtId="0" xfId="0" applyAlignment="1" applyBorder="1" applyFont="1">
      <alignment horizontal="center" shrinkToFit="0" vertical="top" wrapText="1"/>
    </xf>
    <xf borderId="4" fillId="0" fontId="23" numFmtId="166" xfId="0" applyAlignment="1" applyBorder="1" applyFont="1" applyNumberFormat="1">
      <alignment horizontal="center" shrinkToFit="1" vertical="top" wrapText="0"/>
    </xf>
    <xf borderId="4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top" wrapText="1"/>
    </xf>
    <xf borderId="3" fillId="0" fontId="16" numFmtId="166" xfId="0" applyAlignment="1" applyBorder="1" applyFont="1" applyNumberFormat="1">
      <alignment horizontal="center" shrinkToFit="1" vertical="top" wrapText="0"/>
    </xf>
    <xf borderId="18" fillId="5" fontId="16" numFmtId="171" xfId="0" applyAlignment="1" applyBorder="1" applyFont="1" applyNumberFormat="1">
      <alignment horizontal="right" shrinkToFit="1" vertical="top" wrapText="0"/>
    </xf>
    <xf borderId="4" fillId="3" fontId="7" numFmtId="0" xfId="0" applyAlignment="1" applyBorder="1" applyFont="1">
      <alignment horizontal="left" shrinkToFit="0" vertical="top" wrapText="1"/>
    </xf>
    <xf borderId="4" fillId="3" fontId="3" numFmtId="0" xfId="0" applyAlignment="1" applyBorder="1" applyFont="1">
      <alignment horizontal="left" shrinkToFit="0" vertical="top" wrapText="1"/>
    </xf>
    <xf borderId="4" fillId="0" fontId="23" numFmtId="166" xfId="0" applyAlignment="1" applyBorder="1" applyFont="1" applyNumberFormat="1">
      <alignment horizontal="left" shrinkToFit="1" vertical="top" wrapText="0"/>
    </xf>
    <xf borderId="1" fillId="0" fontId="22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20" fillId="6" fontId="7" numFmtId="0" xfId="0" applyAlignment="1" applyBorder="1" applyFill="1" applyFont="1">
      <alignment horizontal="left" shrinkToFit="0" vertical="center" wrapText="1"/>
    </xf>
    <xf borderId="20" fillId="6" fontId="3" numFmtId="0" xfId="0" applyAlignment="1" applyBorder="1" applyFont="1">
      <alignment horizontal="left" shrinkToFit="0" vertical="top" wrapText="1"/>
    </xf>
    <xf borderId="20" fillId="6" fontId="16" numFmtId="166" xfId="0" applyAlignment="1" applyBorder="1" applyFont="1" applyNumberFormat="1">
      <alignment horizontal="center" shrinkToFit="1" vertical="top" wrapText="0"/>
    </xf>
    <xf borderId="20" fillId="6" fontId="16" numFmtId="166" xfId="0" applyAlignment="1" applyBorder="1" applyFont="1" applyNumberFormat="1">
      <alignment horizontal="left" shrinkToFit="1" vertical="top" wrapText="0"/>
    </xf>
    <xf borderId="21" fillId="6" fontId="16" numFmtId="166" xfId="0" applyAlignment="1" applyBorder="1" applyFont="1" applyNumberFormat="1">
      <alignment horizontal="center" shrinkToFit="1" vertical="top" wrapText="0"/>
    </xf>
    <xf borderId="0" fillId="0" fontId="7" numFmtId="0" xfId="0" applyAlignment="1" applyFont="1">
      <alignment horizontal="left" shrinkToFit="0" vertical="center" wrapText="1"/>
    </xf>
    <xf borderId="22" fillId="6" fontId="3" numFmtId="0" xfId="0" applyAlignment="1" applyBorder="1" applyFont="1">
      <alignment horizontal="left" shrinkToFit="0" vertical="top" wrapText="1"/>
    </xf>
    <xf borderId="23" fillId="0" fontId="4" numFmtId="0" xfId="0" applyAlignment="1" applyBorder="1" applyFont="1">
      <alignment horizontal="left" vertical="top"/>
    </xf>
    <xf borderId="24" fillId="0" fontId="4" numFmtId="0" xfId="0" applyAlignment="1" applyBorder="1" applyFont="1">
      <alignment horizontal="left" vertical="top"/>
    </xf>
    <xf borderId="4" fillId="7" fontId="16" numFmtId="166" xfId="0" applyAlignment="1" applyBorder="1" applyFill="1" applyFont="1" applyNumberFormat="1">
      <alignment horizontal="center" shrinkToFit="1" vertical="top" wrapText="0"/>
    </xf>
    <xf borderId="19" fillId="5" fontId="16" numFmtId="171" xfId="0" applyAlignment="1" applyBorder="1" applyFont="1" applyNumberFormat="1">
      <alignment horizontal="right" shrinkToFit="1" vertical="top" wrapText="0"/>
    </xf>
    <xf borderId="1" fillId="6" fontId="9" numFmtId="0" xfId="0" applyAlignment="1" applyBorder="1" applyFont="1">
      <alignment horizontal="left" shrinkToFit="0" vertical="top" wrapText="1"/>
    </xf>
    <xf borderId="1" fillId="6" fontId="10" numFmtId="166" xfId="0" applyAlignment="1" applyBorder="1" applyFont="1" applyNumberFormat="1">
      <alignment horizontal="left" shrinkToFit="1" vertical="top" wrapText="0"/>
    </xf>
    <xf borderId="1" fillId="0" fontId="13" numFmtId="0" xfId="0" applyAlignment="1" applyBorder="1" applyFont="1">
      <alignment horizontal="left" shrinkToFit="0" vertical="top" wrapText="1"/>
    </xf>
    <xf borderId="1" fillId="0" fontId="11" numFmtId="166" xfId="0" applyAlignment="1" applyBorder="1" applyFont="1" applyNumberFormat="1">
      <alignment horizontal="left" shrinkToFit="1" vertical="top" wrapText="0"/>
    </xf>
    <xf borderId="3" fillId="0" fontId="12" numFmtId="172" xfId="0" applyAlignment="1" applyBorder="1" applyFont="1" applyNumberFormat="1">
      <alignment horizontal="center" shrinkToFit="1" vertical="top" wrapText="0"/>
    </xf>
    <xf borderId="1" fillId="8" fontId="3" numFmtId="0" xfId="0" applyAlignment="1" applyBorder="1" applyFill="1" applyFont="1">
      <alignment horizontal="center" shrinkToFit="0" vertical="top" wrapText="1"/>
    </xf>
    <xf borderId="4" fillId="8" fontId="3" numFmtId="0" xfId="0" applyAlignment="1" applyBorder="1" applyFont="1">
      <alignment horizontal="left" shrinkToFit="0" vertical="top" wrapText="1"/>
    </xf>
    <xf borderId="1" fillId="8" fontId="3" numFmtId="0" xfId="0" applyAlignment="1" applyBorder="1" applyFont="1">
      <alignment horizontal="left" shrinkToFit="0" vertical="top" wrapText="1"/>
    </xf>
    <xf borderId="8" fillId="8" fontId="3" numFmtId="0" xfId="0" applyAlignment="1" applyBorder="1" applyFont="1">
      <alignment horizontal="left" shrinkToFit="0" vertical="top" wrapText="1"/>
    </xf>
    <xf borderId="7" fillId="8" fontId="3" numFmtId="0" xfId="0" applyAlignment="1" applyBorder="1" applyFont="1">
      <alignment horizontal="left" shrinkToFit="0" vertical="top" wrapText="1"/>
    </xf>
    <xf borderId="1" fillId="5" fontId="3" numFmtId="0" xfId="0" applyAlignment="1" applyBorder="1" applyFont="1">
      <alignment horizontal="left" shrinkToFit="0" vertical="top" wrapText="1"/>
    </xf>
    <xf borderId="1" fillId="5" fontId="16" numFmtId="168" xfId="0" applyAlignment="1" applyBorder="1" applyFont="1" applyNumberFormat="1">
      <alignment horizontal="left" shrinkToFit="1" vertical="top" wrapText="0"/>
    </xf>
    <xf borderId="9" fillId="0" fontId="4" numFmtId="0" xfId="0" applyAlignment="1" applyBorder="1" applyFont="1">
      <alignment horizontal="left" vertical="top"/>
    </xf>
    <xf borderId="4" fillId="0" fontId="23" numFmtId="168" xfId="0" applyAlignment="1" applyBorder="1" applyFont="1" applyNumberFormat="1">
      <alignment horizontal="left" shrinkToFit="1" vertical="top" wrapText="0"/>
    </xf>
    <xf borderId="1" fillId="0" fontId="23" numFmtId="168" xfId="0" applyAlignment="1" applyBorder="1" applyFont="1" applyNumberFormat="1">
      <alignment horizontal="left" shrinkToFit="1" vertical="top" wrapText="0"/>
    </xf>
    <xf borderId="1" fillId="0" fontId="22" numFmtId="0" xfId="0" applyAlignment="1" applyBorder="1" applyFont="1">
      <alignment horizontal="center" shrinkToFit="0" vertical="top" wrapText="1"/>
    </xf>
    <xf borderId="1" fillId="9" fontId="24" numFmtId="168" xfId="0" applyAlignment="1" applyBorder="1" applyFill="1" applyFont="1" applyNumberFormat="1">
      <alignment horizontal="left" shrinkToFit="1" vertical="top" wrapText="0"/>
    </xf>
    <xf borderId="7" fillId="8" fontId="3" numFmtId="0" xfId="0" applyAlignment="1" applyBorder="1" applyFont="1">
      <alignment horizontal="left" shrinkToFit="0" vertical="center" wrapText="1"/>
    </xf>
    <xf borderId="25" fillId="0" fontId="4" numFmtId="0" xfId="0" applyAlignment="1" applyBorder="1" applyFont="1">
      <alignment horizontal="left" vertical="top"/>
    </xf>
    <xf borderId="4" fillId="0" fontId="25" numFmtId="169" xfId="0" applyAlignment="1" applyBorder="1" applyFont="1" applyNumberFormat="1">
      <alignment horizontal="left" shrinkToFit="1" vertical="top" wrapText="0"/>
    </xf>
    <xf borderId="1" fillId="0" fontId="23" numFmtId="173" xfId="0" applyAlignment="1" applyBorder="1" applyFont="1" applyNumberFormat="1">
      <alignment horizontal="center" shrinkToFit="1" vertical="top" wrapText="0"/>
    </xf>
    <xf borderId="26" fillId="8" fontId="16" numFmtId="168" xfId="0" applyAlignment="1" applyBorder="1" applyFont="1" applyNumberFormat="1">
      <alignment horizontal="left" shrinkToFit="1" vertical="top" wrapText="0"/>
    </xf>
    <xf borderId="27" fillId="8" fontId="16" numFmtId="168" xfId="0" applyAlignment="1" applyBorder="1" applyFont="1" applyNumberFormat="1">
      <alignment horizontal="left" shrinkToFit="1" vertical="top" wrapText="0"/>
    </xf>
    <xf borderId="4" fillId="8" fontId="17" numFmtId="169" xfId="0" applyAlignment="1" applyBorder="1" applyFont="1" applyNumberFormat="1">
      <alignment horizontal="left" shrinkToFit="1" vertical="top" wrapText="0"/>
    </xf>
    <xf borderId="7" fillId="0" fontId="7" numFmtId="0" xfId="0" applyAlignment="1" applyBorder="1" applyFont="1">
      <alignment horizontal="left" shrinkToFit="0" vertical="bottom" wrapText="1"/>
    </xf>
    <xf borderId="1" fillId="10" fontId="3" numFmtId="0" xfId="0" applyAlignment="1" applyBorder="1" applyFill="1" applyFont="1">
      <alignment horizontal="left" shrinkToFit="0" vertical="top" wrapText="1"/>
    </xf>
    <xf borderId="1" fillId="10" fontId="16" numFmtId="168" xfId="0" applyAlignment="1" applyBorder="1" applyFont="1" applyNumberFormat="1">
      <alignment horizontal="left" shrinkToFit="1" vertical="top" wrapText="0"/>
    </xf>
    <xf borderId="13" fillId="0" fontId="7" numFmtId="0" xfId="0" applyAlignment="1" applyBorder="1" applyFont="1">
      <alignment horizontal="left" shrinkToFit="0" vertical="bottom" wrapText="1"/>
    </xf>
    <xf borderId="0" fillId="0" fontId="26" numFmtId="0" xfId="0" applyAlignment="1" applyFont="1">
      <alignment horizontal="left" readingOrder="0" vertical="top"/>
    </xf>
    <xf borderId="1" fillId="3" fontId="3" numFmtId="0" xfId="0" applyAlignment="1" applyBorder="1" applyFont="1">
      <alignment horizontal="center" shrinkToFit="0" vertical="top" wrapText="1"/>
    </xf>
    <xf borderId="4" fillId="6" fontId="3" numFmtId="0" xfId="0" applyAlignment="1" applyBorder="1" applyFont="1">
      <alignment horizontal="center" shrinkToFit="0" vertical="top" wrapText="1"/>
    </xf>
    <xf borderId="1" fillId="6" fontId="3" numFmtId="0" xfId="0" applyAlignment="1" applyBorder="1" applyFont="1">
      <alignment horizontal="left" shrinkToFit="0" vertical="top" wrapText="1"/>
    </xf>
    <xf borderId="1" fillId="6" fontId="3" numFmtId="0" xfId="0" applyAlignment="1" applyBorder="1" applyFont="1">
      <alignment horizontal="center" shrinkToFit="0" vertical="top" wrapText="1"/>
    </xf>
    <xf borderId="4" fillId="0" fontId="23" numFmtId="173" xfId="0" applyAlignment="1" applyBorder="1" applyFont="1" applyNumberFormat="1">
      <alignment horizontal="center" shrinkToFit="1" vertical="top" wrapText="0"/>
    </xf>
    <xf borderId="1" fillId="0" fontId="23" numFmtId="166" xfId="0" applyAlignment="1" applyBorder="1" applyFont="1" applyNumberFormat="1">
      <alignment horizontal="center" shrinkToFit="1" vertical="top" wrapText="0"/>
    </xf>
    <xf borderId="6" fillId="0" fontId="7" numFmtId="0" xfId="0" applyAlignment="1" applyBorder="1" applyFont="1">
      <alignment horizontal="left" shrinkToFit="0" vertical="bottom" wrapText="1"/>
    </xf>
    <xf borderId="1" fillId="3" fontId="16" numFmtId="166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57150</xdr:colOff>
      <xdr:row>2</xdr:row>
      <xdr:rowOff>47625</xdr:rowOff>
    </xdr:from>
    <xdr:ext cx="781050" cy="895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yfadmconsorcios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3.71"/>
    <col customWidth="1" min="11" max="27" width="7.57"/>
    <col customWidth="1" min="28" max="28" width="2.43"/>
    <col customWidth="1" min="29" max="29" width="3.29"/>
  </cols>
  <sheetData>
    <row r="1" ht="12.0" customHeight="1">
      <c r="A1" s="4" t="s">
        <v>7</v>
      </c>
      <c r="B1" s="5"/>
      <c r="C1" s="5"/>
      <c r="D1" s="5"/>
      <c r="E1" s="5"/>
      <c r="F1" s="5"/>
      <c r="G1" s="5"/>
      <c r="H1" s="5"/>
      <c r="I1" s="5"/>
      <c r="J1" s="5"/>
      <c r="K1" s="7"/>
    </row>
    <row r="2" ht="12.0" customHeight="1">
      <c r="A2" s="8" t="s">
        <v>9</v>
      </c>
    </row>
    <row r="3" ht="78.0" customHeight="1">
      <c r="A3" s="12" t="s">
        <v>11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7"/>
    </row>
    <row r="4" ht="34.5" customHeight="1">
      <c r="A4" s="13" t="s">
        <v>19</v>
      </c>
      <c r="S4" s="14" t="s">
        <v>20</v>
      </c>
    </row>
    <row r="5" ht="42.75" customHeight="1">
      <c r="A5" s="15" t="s">
        <v>22</v>
      </c>
      <c r="B5" s="15" t="s">
        <v>23</v>
      </c>
      <c r="C5" s="16" t="s">
        <v>25</v>
      </c>
      <c r="D5" s="15" t="s">
        <v>26</v>
      </c>
      <c r="E5" s="17" t="s">
        <v>27</v>
      </c>
      <c r="F5" s="7"/>
      <c r="G5" s="19" t="s">
        <v>30</v>
      </c>
      <c r="H5" s="7"/>
      <c r="I5" s="19" t="s">
        <v>31</v>
      </c>
      <c r="J5" s="7"/>
    </row>
    <row r="6" ht="15.0" customHeight="1">
      <c r="A6" s="20">
        <v>1.0</v>
      </c>
      <c r="B6" s="21" t="s">
        <v>34</v>
      </c>
      <c r="C6" s="22" t="s">
        <v>36</v>
      </c>
      <c r="D6" s="24">
        <v>0.0156</v>
      </c>
      <c r="E6" s="25">
        <v>393470.0</v>
      </c>
      <c r="F6" s="7"/>
      <c r="G6" s="25">
        <v>392000.0</v>
      </c>
      <c r="H6" s="7"/>
      <c r="I6" s="26">
        <v>1470.0</v>
      </c>
      <c r="J6" s="7"/>
    </row>
    <row r="7" ht="15.0" customHeight="1">
      <c r="A7" s="20">
        <v>2.0</v>
      </c>
      <c r="B7" s="21" t="s">
        <v>43</v>
      </c>
      <c r="C7" s="22" t="s">
        <v>44</v>
      </c>
      <c r="D7" s="24">
        <v>0.0107</v>
      </c>
      <c r="E7" s="25">
        <v>287636.0</v>
      </c>
      <c r="F7" s="7"/>
      <c r="G7" s="25">
        <v>287636.0</v>
      </c>
      <c r="H7" s="7"/>
      <c r="I7" s="27" t="s">
        <v>46</v>
      </c>
      <c r="J7" s="7"/>
    </row>
    <row r="8" ht="15.0" customHeight="1">
      <c r="A8" s="20">
        <v>3.0</v>
      </c>
      <c r="B8" s="21" t="s">
        <v>50</v>
      </c>
      <c r="C8" s="22" t="s">
        <v>53</v>
      </c>
      <c r="D8" s="24">
        <v>0.0103</v>
      </c>
      <c r="E8" s="25">
        <v>279259.0</v>
      </c>
      <c r="F8" s="7"/>
      <c r="G8" s="25">
        <v>279259.0</v>
      </c>
      <c r="H8" s="7"/>
      <c r="I8" s="27" t="s">
        <v>58</v>
      </c>
      <c r="J8" s="7"/>
    </row>
    <row r="9" ht="15.0" customHeight="1">
      <c r="A9" s="20">
        <v>4.0</v>
      </c>
      <c r="B9" s="21" t="s">
        <v>61</v>
      </c>
      <c r="C9" s="22" t="s">
        <v>62</v>
      </c>
      <c r="D9" s="24">
        <v>0.0103</v>
      </c>
      <c r="E9" s="25">
        <v>279259.0</v>
      </c>
      <c r="F9" s="7"/>
      <c r="G9" s="25">
        <v>279259.0</v>
      </c>
      <c r="H9" s="7"/>
      <c r="I9" s="27" t="s">
        <v>65</v>
      </c>
      <c r="J9" s="7"/>
    </row>
    <row r="10" ht="15.0" customHeight="1">
      <c r="A10" s="20">
        <v>5.0</v>
      </c>
      <c r="B10" s="21" t="s">
        <v>67</v>
      </c>
      <c r="C10" s="22" t="s">
        <v>68</v>
      </c>
      <c r="D10" s="24">
        <v>0.0114</v>
      </c>
      <c r="E10" s="25">
        <v>302295.0</v>
      </c>
      <c r="F10" s="7"/>
      <c r="G10" s="25">
        <v>300000.0</v>
      </c>
      <c r="H10" s="7"/>
      <c r="I10" s="26">
        <v>2295.0</v>
      </c>
      <c r="J10" s="7"/>
    </row>
    <row r="11" ht="15.0" customHeight="1">
      <c r="A11" s="20">
        <v>6.0</v>
      </c>
      <c r="B11" s="21" t="s">
        <v>76</v>
      </c>
      <c r="C11" s="22" t="s">
        <v>78</v>
      </c>
      <c r="D11" s="24">
        <v>0.0172</v>
      </c>
      <c r="E11" s="25">
        <v>423761.0</v>
      </c>
      <c r="F11" s="7"/>
      <c r="G11" s="25">
        <v>423761.0</v>
      </c>
      <c r="H11" s="7"/>
      <c r="I11" s="27" t="s">
        <v>81</v>
      </c>
      <c r="J11" s="7"/>
    </row>
    <row r="12" ht="15.0" customHeight="1">
      <c r="A12" s="20">
        <v>7.0</v>
      </c>
      <c r="B12" s="21" t="s">
        <v>82</v>
      </c>
      <c r="C12" s="22" t="s">
        <v>83</v>
      </c>
      <c r="D12" s="24">
        <v>0.016</v>
      </c>
      <c r="E12" s="25">
        <v>1103703.0</v>
      </c>
      <c r="F12" s="7"/>
      <c r="G12" s="25">
        <v>1104000.0</v>
      </c>
      <c r="H12" s="7"/>
      <c r="I12" s="34">
        <v>-297.0</v>
      </c>
      <c r="J12" s="7"/>
    </row>
    <row r="13" ht="15.0" customHeight="1">
      <c r="A13" s="20">
        <v>8.0</v>
      </c>
      <c r="B13" s="21" t="s">
        <v>84</v>
      </c>
      <c r="C13" s="22" t="s">
        <v>85</v>
      </c>
      <c r="D13" s="24">
        <v>0.0109</v>
      </c>
      <c r="E13" s="25">
        <v>291824.0</v>
      </c>
      <c r="F13" s="7"/>
      <c r="G13" s="25">
        <v>291824.0</v>
      </c>
      <c r="H13" s="7"/>
      <c r="I13" s="27" t="s">
        <v>86</v>
      </c>
      <c r="J13" s="7"/>
    </row>
    <row r="14" ht="15.0" customHeight="1">
      <c r="A14" s="20">
        <v>9.0</v>
      </c>
      <c r="B14" s="21" t="s">
        <v>87</v>
      </c>
      <c r="C14" s="22" t="s">
        <v>88</v>
      </c>
      <c r="D14" s="24">
        <v>0.0103</v>
      </c>
      <c r="E14" s="25">
        <v>279259.0</v>
      </c>
      <c r="F14" s="7"/>
      <c r="G14" s="25">
        <v>279259.0</v>
      </c>
      <c r="H14" s="7"/>
      <c r="I14" s="27" t="s">
        <v>89</v>
      </c>
      <c r="J14" s="7"/>
    </row>
    <row r="15" ht="15.0" customHeight="1">
      <c r="A15" s="20">
        <v>10.0</v>
      </c>
      <c r="B15" s="21" t="s">
        <v>90</v>
      </c>
      <c r="C15" s="22" t="s">
        <v>91</v>
      </c>
      <c r="D15" s="24">
        <v>0.0102</v>
      </c>
      <c r="E15" s="25">
        <v>277164.0</v>
      </c>
      <c r="F15" s="7"/>
      <c r="G15" s="25">
        <v>277164.0</v>
      </c>
      <c r="H15" s="7"/>
      <c r="I15" s="27" t="s">
        <v>92</v>
      </c>
      <c r="J15" s="7"/>
    </row>
    <row r="16" ht="15.0" customHeight="1">
      <c r="A16" s="20">
        <v>11.0</v>
      </c>
      <c r="B16" s="21" t="s">
        <v>93</v>
      </c>
      <c r="C16" s="22" t="s">
        <v>94</v>
      </c>
      <c r="D16" s="24">
        <v>0.0107</v>
      </c>
      <c r="E16" s="25">
        <v>287636.0</v>
      </c>
      <c r="F16" s="7"/>
      <c r="G16" s="25">
        <v>287636.0</v>
      </c>
      <c r="H16" s="7"/>
      <c r="I16" s="27" t="s">
        <v>95</v>
      </c>
      <c r="J16" s="7"/>
    </row>
    <row r="17" ht="15.0" customHeight="1">
      <c r="A17" s="20">
        <v>12.0</v>
      </c>
      <c r="B17" s="21" t="s">
        <v>96</v>
      </c>
      <c r="C17" s="22" t="s">
        <v>97</v>
      </c>
      <c r="D17" s="24">
        <v>0.0155</v>
      </c>
      <c r="E17" s="25">
        <v>388159.0</v>
      </c>
      <c r="F17" s="7"/>
      <c r="G17" s="25">
        <v>388159.0</v>
      </c>
      <c r="H17" s="7"/>
      <c r="I17" s="27" t="s">
        <v>98</v>
      </c>
      <c r="J17" s="7"/>
    </row>
    <row r="18" ht="15.0" customHeight="1">
      <c r="A18" s="20">
        <v>13.0</v>
      </c>
      <c r="B18" s="21" t="s">
        <v>99</v>
      </c>
      <c r="C18" s="22" t="s">
        <v>100</v>
      </c>
      <c r="D18" s="24">
        <v>0.0159</v>
      </c>
      <c r="E18" s="25">
        <v>396536.0</v>
      </c>
      <c r="F18" s="7"/>
      <c r="G18" s="25">
        <v>396536.0</v>
      </c>
      <c r="H18" s="7"/>
      <c r="I18" s="27" t="s">
        <v>101</v>
      </c>
      <c r="J18" s="7"/>
    </row>
    <row r="19" ht="15.0" customHeight="1">
      <c r="A19" s="20">
        <v>14.0</v>
      </c>
      <c r="B19" s="21" t="s">
        <v>102</v>
      </c>
      <c r="C19" s="22" t="s">
        <v>103</v>
      </c>
      <c r="D19" s="24">
        <v>0.0107</v>
      </c>
      <c r="E19" s="25">
        <v>287636.0</v>
      </c>
      <c r="F19" s="7"/>
      <c r="G19" s="25">
        <v>287636.0</v>
      </c>
      <c r="H19" s="7"/>
      <c r="I19" s="27" t="s">
        <v>104</v>
      </c>
      <c r="J19" s="7"/>
    </row>
    <row r="20" ht="15.0" customHeight="1">
      <c r="A20" s="20">
        <v>15.0</v>
      </c>
      <c r="B20" s="21" t="s">
        <v>105</v>
      </c>
      <c r="C20" s="22" t="s">
        <v>106</v>
      </c>
      <c r="D20" s="24">
        <v>0.0102</v>
      </c>
      <c r="E20" s="25">
        <v>277164.0</v>
      </c>
      <c r="F20" s="7"/>
      <c r="G20" s="25">
        <v>277164.0</v>
      </c>
      <c r="H20" s="7"/>
      <c r="I20" s="27" t="s">
        <v>107</v>
      </c>
      <c r="J20" s="7"/>
    </row>
    <row r="21" ht="15.0" customHeight="1">
      <c r="A21" s="20">
        <v>16.0</v>
      </c>
      <c r="B21" s="21" t="s">
        <v>108</v>
      </c>
      <c r="C21" s="22" t="s">
        <v>109</v>
      </c>
      <c r="D21" s="24">
        <v>0.0103</v>
      </c>
      <c r="E21" s="25">
        <v>279259.0</v>
      </c>
      <c r="F21" s="7"/>
      <c r="G21" s="25">
        <v>279259.0</v>
      </c>
      <c r="H21" s="7"/>
      <c r="I21" s="27" t="s">
        <v>110</v>
      </c>
      <c r="J21" s="7"/>
    </row>
    <row r="22" ht="15.0" customHeight="1">
      <c r="A22" s="20">
        <v>17.0</v>
      </c>
      <c r="B22" s="21" t="s">
        <v>111</v>
      </c>
      <c r="C22" s="22" t="s">
        <v>112</v>
      </c>
      <c r="D22" s="24">
        <v>0.0125</v>
      </c>
      <c r="E22" s="25">
        <v>325332.0</v>
      </c>
      <c r="F22" s="7"/>
      <c r="G22" s="27" t="s">
        <v>113</v>
      </c>
      <c r="H22" s="7"/>
      <c r="I22" s="26">
        <v>325332.0</v>
      </c>
      <c r="J22" s="7"/>
    </row>
    <row r="23" ht="15.0" customHeight="1">
      <c r="A23" s="20">
        <v>18.0</v>
      </c>
      <c r="B23" s="21" t="s">
        <v>114</v>
      </c>
      <c r="C23" s="22" t="s">
        <v>115</v>
      </c>
      <c r="D23" s="24">
        <v>0.0155</v>
      </c>
      <c r="E23" s="25">
        <v>388159.0</v>
      </c>
      <c r="F23" s="7"/>
      <c r="G23" s="25">
        <v>388159.0</v>
      </c>
      <c r="H23" s="7"/>
      <c r="I23" s="27" t="s">
        <v>116</v>
      </c>
      <c r="J23" s="7"/>
    </row>
    <row r="24" ht="15.0" customHeight="1">
      <c r="A24" s="20">
        <v>19.0</v>
      </c>
      <c r="B24" s="21" t="s">
        <v>117</v>
      </c>
      <c r="C24" s="22" t="s">
        <v>118</v>
      </c>
      <c r="D24" s="24">
        <v>0.0171</v>
      </c>
      <c r="E24" s="25">
        <v>421666.0</v>
      </c>
      <c r="F24" s="7"/>
      <c r="G24" s="25">
        <v>421666.0</v>
      </c>
      <c r="H24" s="7"/>
      <c r="I24" s="27" t="s">
        <v>119</v>
      </c>
      <c r="J24" s="7"/>
    </row>
    <row r="25" ht="15.0" customHeight="1">
      <c r="A25" s="20">
        <v>20.0</v>
      </c>
      <c r="B25" s="21" t="s">
        <v>120</v>
      </c>
      <c r="C25" s="22" t="s">
        <v>121</v>
      </c>
      <c r="D25" s="24">
        <v>0.0107</v>
      </c>
      <c r="E25" s="25">
        <v>287636.0</v>
      </c>
      <c r="F25" s="7"/>
      <c r="G25" s="25">
        <v>287636.0</v>
      </c>
      <c r="H25" s="7"/>
      <c r="I25" s="27" t="s">
        <v>122</v>
      </c>
      <c r="J25" s="7"/>
    </row>
    <row r="26" ht="15.0" customHeight="1">
      <c r="A26" s="20">
        <v>21.0</v>
      </c>
      <c r="B26" s="21" t="s">
        <v>123</v>
      </c>
      <c r="C26" s="22" t="s">
        <v>124</v>
      </c>
      <c r="D26" s="24">
        <v>0.0119</v>
      </c>
      <c r="E26" s="25">
        <v>610758.0</v>
      </c>
      <c r="F26" s="7"/>
      <c r="G26" s="25">
        <v>610758.0</v>
      </c>
      <c r="H26" s="7"/>
      <c r="I26" s="27" t="s">
        <v>125</v>
      </c>
      <c r="J26" s="7"/>
    </row>
    <row r="27" ht="15.0" customHeight="1">
      <c r="A27" s="20">
        <v>22.0</v>
      </c>
      <c r="B27" s="21" t="s">
        <v>126</v>
      </c>
      <c r="C27" s="22" t="s">
        <v>127</v>
      </c>
      <c r="D27" s="24">
        <v>0.0119</v>
      </c>
      <c r="E27" s="25">
        <v>312766.0</v>
      </c>
      <c r="F27" s="7"/>
      <c r="G27" s="25">
        <v>312766.0</v>
      </c>
      <c r="H27" s="7"/>
      <c r="I27" s="27" t="s">
        <v>128</v>
      </c>
      <c r="J27" s="7"/>
    </row>
    <row r="28" ht="15.0" customHeight="1">
      <c r="A28" s="20">
        <v>23.0</v>
      </c>
      <c r="B28" s="21" t="s">
        <v>129</v>
      </c>
      <c r="C28" s="22" t="s">
        <v>130</v>
      </c>
      <c r="D28" s="24">
        <v>0.0124</v>
      </c>
      <c r="E28" s="25">
        <v>323237.0</v>
      </c>
      <c r="F28" s="7"/>
      <c r="G28" s="25">
        <v>323237.0</v>
      </c>
      <c r="H28" s="7"/>
      <c r="I28" s="27" t="s">
        <v>131</v>
      </c>
      <c r="J28" s="7"/>
    </row>
    <row r="29" ht="15.0" customHeight="1">
      <c r="A29" s="20">
        <v>24.0</v>
      </c>
      <c r="B29" s="21" t="s">
        <v>132</v>
      </c>
      <c r="C29" s="22" t="s">
        <v>133</v>
      </c>
      <c r="D29" s="24">
        <v>0.0156</v>
      </c>
      <c r="E29" s="25">
        <v>390253.0</v>
      </c>
      <c r="F29" s="7"/>
      <c r="G29" s="25">
        <v>390253.0</v>
      </c>
      <c r="H29" s="7"/>
      <c r="I29" s="27" t="s">
        <v>134</v>
      </c>
      <c r="J29" s="7"/>
    </row>
    <row r="30" ht="15.0" customHeight="1">
      <c r="A30" s="20">
        <v>25.0</v>
      </c>
      <c r="B30" s="21" t="s">
        <v>135</v>
      </c>
      <c r="C30" s="22" t="s">
        <v>136</v>
      </c>
      <c r="D30" s="24">
        <v>0.0156</v>
      </c>
      <c r="E30" s="25">
        <v>390188.0</v>
      </c>
      <c r="F30" s="7"/>
      <c r="G30" s="25">
        <v>390188.0</v>
      </c>
      <c r="H30" s="7"/>
      <c r="I30" s="27" t="s">
        <v>137</v>
      </c>
      <c r="J30" s="7"/>
    </row>
    <row r="31" ht="15.0" customHeight="1">
      <c r="A31" s="20">
        <v>26.0</v>
      </c>
      <c r="B31" s="21" t="s">
        <v>138</v>
      </c>
      <c r="C31" s="22" t="s">
        <v>139</v>
      </c>
      <c r="D31" s="24">
        <v>0.0108</v>
      </c>
      <c r="E31" s="25">
        <v>390812.0</v>
      </c>
      <c r="F31" s="7"/>
      <c r="G31" s="27" t="s">
        <v>140</v>
      </c>
      <c r="H31" s="7"/>
      <c r="I31" s="26">
        <v>390812.0</v>
      </c>
      <c r="J31" s="7"/>
    </row>
    <row r="32" ht="15.0" customHeight="1">
      <c r="A32" s="20">
        <v>27.0</v>
      </c>
      <c r="B32" s="21" t="s">
        <v>141</v>
      </c>
      <c r="C32" s="22" t="s">
        <v>142</v>
      </c>
      <c r="D32" s="24">
        <v>0.0102</v>
      </c>
      <c r="E32" s="25">
        <v>277164.0</v>
      </c>
      <c r="F32" s="7"/>
      <c r="G32" s="25">
        <v>277164.0</v>
      </c>
      <c r="H32" s="7"/>
      <c r="I32" s="27" t="s">
        <v>143</v>
      </c>
      <c r="J32" s="7"/>
    </row>
    <row r="33" ht="15.0" customHeight="1">
      <c r="A33" s="20">
        <v>28.0</v>
      </c>
      <c r="B33" s="21" t="s">
        <v>144</v>
      </c>
      <c r="C33" s="22" t="s">
        <v>145</v>
      </c>
      <c r="D33" s="24">
        <v>0.0102</v>
      </c>
      <c r="E33" s="25">
        <v>277164.0</v>
      </c>
      <c r="F33" s="7"/>
      <c r="G33" s="25">
        <v>277164.0</v>
      </c>
      <c r="H33" s="7"/>
      <c r="I33" s="27" t="s">
        <v>146</v>
      </c>
      <c r="J33" s="7"/>
    </row>
    <row r="34" ht="15.0" customHeight="1">
      <c r="A34" s="20">
        <v>29.0</v>
      </c>
      <c r="B34" s="21" t="s">
        <v>147</v>
      </c>
      <c r="C34" s="22" t="s">
        <v>148</v>
      </c>
      <c r="D34" s="24">
        <v>0.0112</v>
      </c>
      <c r="E34" s="25">
        <v>298107.0</v>
      </c>
      <c r="F34" s="7"/>
      <c r="G34" s="25">
        <v>298107.0</v>
      </c>
      <c r="H34" s="7"/>
      <c r="I34" s="27" t="s">
        <v>149</v>
      </c>
      <c r="J34" s="7"/>
    </row>
    <row r="35" ht="15.0" customHeight="1">
      <c r="A35" s="20">
        <v>30.0</v>
      </c>
      <c r="B35" s="21" t="s">
        <v>150</v>
      </c>
      <c r="C35" s="22" t="s">
        <v>151</v>
      </c>
      <c r="D35" s="24">
        <v>0.0175</v>
      </c>
      <c r="E35" s="25">
        <v>430043.0</v>
      </c>
      <c r="F35" s="7"/>
      <c r="G35" s="27" t="s">
        <v>152</v>
      </c>
      <c r="H35" s="7"/>
      <c r="I35" s="26">
        <v>430043.0</v>
      </c>
      <c r="J35" s="7"/>
    </row>
    <row r="36" ht="15.0" customHeight="1">
      <c r="A36" s="20">
        <v>31.0</v>
      </c>
      <c r="B36" s="21" t="s">
        <v>153</v>
      </c>
      <c r="C36" s="22" t="s">
        <v>154</v>
      </c>
      <c r="D36" s="24">
        <v>0.0227</v>
      </c>
      <c r="E36" s="25">
        <v>538943.0</v>
      </c>
      <c r="F36" s="7"/>
      <c r="G36" s="25">
        <v>538943.0</v>
      </c>
      <c r="H36" s="7"/>
      <c r="I36" s="27" t="s">
        <v>155</v>
      </c>
      <c r="J36" s="7"/>
    </row>
    <row r="37" ht="15.0" customHeight="1">
      <c r="A37" s="20">
        <v>32.0</v>
      </c>
      <c r="B37" s="21" t="s">
        <v>156</v>
      </c>
      <c r="C37" s="22" t="s">
        <v>157</v>
      </c>
      <c r="D37" s="24">
        <v>0.0123</v>
      </c>
      <c r="E37" s="25">
        <v>321143.0</v>
      </c>
      <c r="F37" s="7"/>
      <c r="G37" s="25">
        <v>321143.0</v>
      </c>
      <c r="H37" s="7"/>
      <c r="I37" s="27" t="s">
        <v>158</v>
      </c>
      <c r="J37" s="7"/>
    </row>
    <row r="38" ht="15.0" customHeight="1">
      <c r="A38" s="20">
        <v>33.0</v>
      </c>
      <c r="B38" s="21" t="s">
        <v>159</v>
      </c>
      <c r="C38" s="22" t="s">
        <v>160</v>
      </c>
      <c r="D38" s="24">
        <v>0.0118</v>
      </c>
      <c r="E38" s="25">
        <v>310672.0</v>
      </c>
      <c r="F38" s="7"/>
      <c r="G38" s="25">
        <v>310672.0</v>
      </c>
      <c r="H38" s="7"/>
      <c r="I38" s="27" t="s">
        <v>161</v>
      </c>
      <c r="J38" s="7"/>
    </row>
    <row r="39" ht="15.0" customHeight="1">
      <c r="A39" s="20">
        <v>34.0</v>
      </c>
      <c r="B39" s="21" t="s">
        <v>162</v>
      </c>
      <c r="C39" s="22" t="s">
        <v>163</v>
      </c>
      <c r="D39" s="24">
        <v>0.0139</v>
      </c>
      <c r="E39" s="25">
        <v>697281.0</v>
      </c>
      <c r="F39" s="7"/>
      <c r="G39" s="25">
        <v>697281.0</v>
      </c>
      <c r="H39" s="7"/>
      <c r="I39" s="27" t="s">
        <v>164</v>
      </c>
      <c r="J39" s="7"/>
    </row>
    <row r="40" ht="15.0" customHeight="1">
      <c r="A40" s="20">
        <v>35.0</v>
      </c>
      <c r="B40" s="21" t="s">
        <v>165</v>
      </c>
      <c r="C40" s="22" t="s">
        <v>166</v>
      </c>
      <c r="D40" s="24">
        <v>0.0123</v>
      </c>
      <c r="E40" s="25">
        <v>321143.0</v>
      </c>
      <c r="F40" s="7"/>
      <c r="G40" s="25">
        <v>321143.0</v>
      </c>
      <c r="H40" s="7"/>
      <c r="I40" s="27" t="s">
        <v>167</v>
      </c>
      <c r="J40" s="7"/>
    </row>
    <row r="41" ht="15.0" customHeight="1">
      <c r="A41" s="20">
        <v>36.0</v>
      </c>
      <c r="B41" s="21" t="s">
        <v>168</v>
      </c>
      <c r="C41" s="22" t="s">
        <v>169</v>
      </c>
      <c r="D41" s="35">
        <v>0.0157</v>
      </c>
      <c r="E41" s="25">
        <v>392347.0</v>
      </c>
      <c r="F41" s="7"/>
      <c r="G41" s="25">
        <v>392347.0</v>
      </c>
      <c r="H41" s="7"/>
      <c r="I41" s="27" t="s">
        <v>170</v>
      </c>
      <c r="J41" s="7"/>
    </row>
    <row r="42" ht="15.0" customHeight="1">
      <c r="A42" s="20">
        <v>37.0</v>
      </c>
      <c r="B42" s="21" t="s">
        <v>171</v>
      </c>
      <c r="C42" s="22" t="s">
        <v>172</v>
      </c>
      <c r="D42" s="35">
        <v>0.0155</v>
      </c>
      <c r="E42" s="25">
        <v>388159.0</v>
      </c>
      <c r="F42" s="7"/>
      <c r="G42" s="25">
        <v>388159.0</v>
      </c>
      <c r="H42" s="7"/>
      <c r="I42" s="27" t="s">
        <v>173</v>
      </c>
      <c r="J42" s="7"/>
    </row>
    <row r="43" ht="15.0" customHeight="1">
      <c r="A43" s="20">
        <v>38.0</v>
      </c>
      <c r="B43" s="21" t="s">
        <v>174</v>
      </c>
      <c r="C43" s="22" t="s">
        <v>175</v>
      </c>
      <c r="D43" s="35">
        <v>0.0114</v>
      </c>
      <c r="E43" s="25">
        <v>302295.0</v>
      </c>
      <c r="F43" s="7"/>
      <c r="G43" s="25">
        <v>302295.0</v>
      </c>
      <c r="H43" s="7"/>
      <c r="I43" s="27" t="s">
        <v>176</v>
      </c>
      <c r="J43" s="7"/>
    </row>
    <row r="44" ht="15.0" customHeight="1">
      <c r="A44" s="20">
        <v>39.0</v>
      </c>
      <c r="B44" s="21" t="s">
        <v>177</v>
      </c>
      <c r="C44" s="22" t="s">
        <v>178</v>
      </c>
      <c r="D44" s="35">
        <v>0.0103</v>
      </c>
      <c r="E44" s="25">
        <v>279259.0</v>
      </c>
      <c r="F44" s="7"/>
      <c r="G44" s="25">
        <v>279259.0</v>
      </c>
      <c r="H44" s="7"/>
      <c r="I44" s="27" t="s">
        <v>179</v>
      </c>
      <c r="J44" s="7"/>
    </row>
    <row r="45" ht="15.0" customHeight="1">
      <c r="A45" s="20">
        <v>40.0</v>
      </c>
      <c r="B45" s="21" t="s">
        <v>180</v>
      </c>
      <c r="C45" s="22" t="s">
        <v>181</v>
      </c>
      <c r="D45" s="35">
        <v>0.0106</v>
      </c>
      <c r="E45" s="25">
        <v>285541.0</v>
      </c>
      <c r="F45" s="7"/>
      <c r="G45" s="25">
        <v>285541.0</v>
      </c>
      <c r="H45" s="7"/>
      <c r="I45" s="27" t="s">
        <v>182</v>
      </c>
      <c r="J45" s="7"/>
    </row>
    <row r="46" ht="15.0" customHeight="1">
      <c r="A46" s="20">
        <v>41.0</v>
      </c>
      <c r="B46" s="21" t="s">
        <v>183</v>
      </c>
      <c r="C46" s="22" t="s">
        <v>184</v>
      </c>
      <c r="D46" s="35">
        <v>0.0108</v>
      </c>
      <c r="E46" s="25">
        <v>290161.0</v>
      </c>
      <c r="F46" s="7"/>
      <c r="G46" s="27" t="s">
        <v>185</v>
      </c>
      <c r="H46" s="7"/>
      <c r="I46" s="26">
        <v>290161.0</v>
      </c>
      <c r="J46" s="7"/>
    </row>
    <row r="47" ht="15.0" customHeight="1">
      <c r="A47" s="20">
        <v>42.0</v>
      </c>
      <c r="B47" s="21" t="s">
        <v>186</v>
      </c>
      <c r="C47" s="22" t="s">
        <v>187</v>
      </c>
      <c r="D47" s="35">
        <v>0.0161</v>
      </c>
      <c r="E47" s="25">
        <v>400724.0</v>
      </c>
      <c r="F47" s="7"/>
      <c r="G47" s="25">
        <v>400724.0</v>
      </c>
      <c r="H47" s="7"/>
      <c r="I47" s="27" t="s">
        <v>188</v>
      </c>
      <c r="J47" s="7"/>
    </row>
    <row r="48" ht="15.0" customHeight="1">
      <c r="A48" s="20">
        <v>43.0</v>
      </c>
      <c r="B48" s="21" t="s">
        <v>189</v>
      </c>
      <c r="C48" s="22" t="s">
        <v>190</v>
      </c>
      <c r="D48" s="35">
        <v>0.0192</v>
      </c>
      <c r="E48" s="25">
        <v>465261.0</v>
      </c>
      <c r="F48" s="7"/>
      <c r="G48" s="25">
        <v>465261.0</v>
      </c>
      <c r="H48" s="7"/>
      <c r="I48" s="27" t="s">
        <v>191</v>
      </c>
      <c r="J48" s="7"/>
    </row>
    <row r="49" ht="15.0" customHeight="1">
      <c r="A49" s="20">
        <v>44.0</v>
      </c>
      <c r="B49" s="21" t="s">
        <v>192</v>
      </c>
      <c r="C49" s="22" t="s">
        <v>193</v>
      </c>
      <c r="D49" s="35">
        <v>0.0123</v>
      </c>
      <c r="E49" s="25">
        <v>321143.0</v>
      </c>
      <c r="F49" s="7"/>
      <c r="G49" s="25">
        <v>321143.0</v>
      </c>
      <c r="H49" s="7"/>
      <c r="I49" s="27" t="s">
        <v>194</v>
      </c>
      <c r="J49" s="7"/>
    </row>
    <row r="50" ht="15.0" customHeight="1">
      <c r="A50" s="20">
        <v>45.0</v>
      </c>
      <c r="B50" s="21" t="s">
        <v>195</v>
      </c>
      <c r="C50" s="22" t="s">
        <v>196</v>
      </c>
      <c r="D50" s="35">
        <v>0.0108</v>
      </c>
      <c r="E50" s="25">
        <v>289730.0</v>
      </c>
      <c r="F50" s="7"/>
      <c r="G50" s="27" t="s">
        <v>197</v>
      </c>
      <c r="H50" s="7"/>
      <c r="I50" s="26">
        <v>289730.0</v>
      </c>
      <c r="J50" s="7"/>
    </row>
    <row r="51" ht="15.0" customHeight="1">
      <c r="A51" s="20">
        <v>46.0</v>
      </c>
      <c r="B51" s="21" t="s">
        <v>198</v>
      </c>
      <c r="C51" s="22" t="s">
        <v>199</v>
      </c>
      <c r="D51" s="35">
        <v>0.0119</v>
      </c>
      <c r="E51" s="25">
        <v>312766.0</v>
      </c>
      <c r="F51" s="7"/>
      <c r="G51" s="25">
        <v>312766.0</v>
      </c>
      <c r="H51" s="7"/>
      <c r="I51" s="27" t="s">
        <v>200</v>
      </c>
      <c r="J51" s="7"/>
    </row>
    <row r="52" ht="15.0" customHeight="1">
      <c r="A52" s="20">
        <v>47.0</v>
      </c>
      <c r="B52" s="21" t="s">
        <v>201</v>
      </c>
      <c r="C52" s="22" t="s">
        <v>202</v>
      </c>
      <c r="D52" s="35">
        <v>0.0138</v>
      </c>
      <c r="E52" s="25">
        <v>352557.0</v>
      </c>
      <c r="F52" s="7"/>
      <c r="G52" s="27" t="s">
        <v>203</v>
      </c>
      <c r="H52" s="7"/>
      <c r="I52" s="26">
        <v>352557.0</v>
      </c>
      <c r="J52" s="7"/>
    </row>
    <row r="53" ht="15.0" customHeight="1">
      <c r="A53" s="20">
        <v>48.0</v>
      </c>
      <c r="B53" s="21" t="s">
        <v>204</v>
      </c>
      <c r="C53" s="22" t="s">
        <v>205</v>
      </c>
      <c r="D53" s="35">
        <v>0.0155</v>
      </c>
      <c r="E53" s="25">
        <v>388159.0</v>
      </c>
      <c r="F53" s="7"/>
      <c r="G53" s="25">
        <v>388159.0</v>
      </c>
      <c r="H53" s="7"/>
      <c r="I53" s="27" t="s">
        <v>206</v>
      </c>
      <c r="J53" s="7"/>
    </row>
    <row r="54" ht="15.0" customHeight="1">
      <c r="A54" s="20">
        <v>49.0</v>
      </c>
      <c r="B54" s="21" t="s">
        <v>207</v>
      </c>
      <c r="C54" s="22" t="s">
        <v>208</v>
      </c>
      <c r="D54" s="35">
        <v>0.0191</v>
      </c>
      <c r="E54" s="25">
        <v>-1566449.0</v>
      </c>
      <c r="F54" s="7"/>
      <c r="G54" s="27" t="s">
        <v>209</v>
      </c>
      <c r="H54" s="7"/>
      <c r="I54" s="25">
        <v>-1566449.0</v>
      </c>
      <c r="J54" s="7"/>
    </row>
    <row r="55" ht="15.0" customHeight="1">
      <c r="A55" s="20">
        <v>50.0</v>
      </c>
      <c r="B55" s="21" t="s">
        <v>210</v>
      </c>
      <c r="C55" s="22" t="s">
        <v>211</v>
      </c>
      <c r="D55" s="35">
        <v>0.0117</v>
      </c>
      <c r="E55" s="25">
        <v>308578.0</v>
      </c>
      <c r="F55" s="7"/>
      <c r="G55" s="25">
        <v>308578.0</v>
      </c>
      <c r="H55" s="7"/>
      <c r="I55" s="27" t="s">
        <v>212</v>
      </c>
      <c r="J55" s="7"/>
    </row>
    <row r="56" ht="15.0" customHeight="1">
      <c r="A56" s="20">
        <v>51.0</v>
      </c>
      <c r="B56" s="21" t="s">
        <v>213</v>
      </c>
      <c r="C56" s="22" t="s">
        <v>214</v>
      </c>
      <c r="D56" s="35">
        <v>0.0117</v>
      </c>
      <c r="E56" s="25">
        <v>308200.0</v>
      </c>
      <c r="F56" s="7"/>
      <c r="G56" s="25">
        <v>124000.0</v>
      </c>
      <c r="H56" s="7"/>
      <c r="I56" s="26">
        <v>184200.0</v>
      </c>
      <c r="J56" s="7"/>
    </row>
    <row r="57" ht="15.0" customHeight="1">
      <c r="A57" s="20">
        <v>52.0</v>
      </c>
      <c r="B57" s="21" t="s">
        <v>215</v>
      </c>
      <c r="C57" s="22" t="s">
        <v>216</v>
      </c>
      <c r="D57" s="35">
        <v>0.0197</v>
      </c>
      <c r="E57" s="25">
        <v>476116.0</v>
      </c>
      <c r="F57" s="7"/>
      <c r="G57" s="25">
        <v>476116.0</v>
      </c>
      <c r="H57" s="7"/>
      <c r="I57" s="27" t="s">
        <v>217</v>
      </c>
      <c r="J57" s="7"/>
    </row>
    <row r="58" ht="15.0" customHeight="1">
      <c r="A58" s="20">
        <v>53.0</v>
      </c>
      <c r="B58" s="21" t="s">
        <v>218</v>
      </c>
      <c r="C58" s="22" t="s">
        <v>219</v>
      </c>
      <c r="D58" s="35">
        <v>0.0186</v>
      </c>
      <c r="E58" s="25">
        <v>453080.0</v>
      </c>
      <c r="F58" s="7"/>
      <c r="G58" s="25">
        <v>453080.0</v>
      </c>
      <c r="H58" s="7"/>
      <c r="I58" s="27" t="s">
        <v>220</v>
      </c>
      <c r="J58" s="7"/>
    </row>
    <row r="59" ht="15.0" customHeight="1">
      <c r="A59" s="20">
        <v>54.0</v>
      </c>
      <c r="B59" s="21" t="s">
        <v>221</v>
      </c>
      <c r="C59" s="22" t="s">
        <v>222</v>
      </c>
      <c r="D59" s="35">
        <v>0.0102</v>
      </c>
      <c r="E59" s="25">
        <v>537214.0</v>
      </c>
      <c r="F59" s="7"/>
      <c r="G59" s="25">
        <v>537214.0</v>
      </c>
      <c r="H59" s="7"/>
      <c r="I59" s="27" t="s">
        <v>223</v>
      </c>
      <c r="J59" s="7"/>
    </row>
    <row r="60" ht="15.0" customHeight="1">
      <c r="A60" s="20">
        <v>55.0</v>
      </c>
      <c r="B60" s="21" t="s">
        <v>224</v>
      </c>
      <c r="C60" s="22" t="s">
        <v>225</v>
      </c>
      <c r="D60" s="35">
        <v>0.0102</v>
      </c>
      <c r="E60" s="25">
        <v>277164.0</v>
      </c>
      <c r="F60" s="7"/>
      <c r="G60" s="25">
        <v>170064.0</v>
      </c>
      <c r="H60" s="7"/>
      <c r="I60" s="26">
        <v>107100.0</v>
      </c>
      <c r="J60" s="7"/>
    </row>
    <row r="61" ht="15.0" customHeight="1">
      <c r="A61" s="20">
        <v>56.0</v>
      </c>
      <c r="B61" s="21" t="s">
        <v>226</v>
      </c>
      <c r="C61" s="22" t="s">
        <v>227</v>
      </c>
      <c r="D61" s="35">
        <v>0.0172</v>
      </c>
      <c r="E61" s="25">
        <v>423761.0</v>
      </c>
      <c r="F61" s="7"/>
      <c r="G61" s="25">
        <v>423761.0</v>
      </c>
      <c r="H61" s="7"/>
      <c r="I61" s="27" t="s">
        <v>228</v>
      </c>
      <c r="J61" s="7"/>
    </row>
    <row r="62" ht="15.0" customHeight="1">
      <c r="A62" s="20">
        <v>57.0</v>
      </c>
      <c r="B62" s="21" t="s">
        <v>229</v>
      </c>
      <c r="C62" s="22" t="s">
        <v>230</v>
      </c>
      <c r="D62" s="35">
        <v>0.0193</v>
      </c>
      <c r="E62" s="25">
        <v>467739.0</v>
      </c>
      <c r="F62" s="7"/>
      <c r="G62" s="25">
        <v>467739.0</v>
      </c>
      <c r="H62" s="7"/>
      <c r="I62" s="27" t="s">
        <v>231</v>
      </c>
      <c r="J62" s="7"/>
    </row>
    <row r="63" ht="15.0" customHeight="1">
      <c r="A63" s="20">
        <v>58.0</v>
      </c>
      <c r="B63" s="21" t="s">
        <v>232</v>
      </c>
      <c r="C63" s="22" t="s">
        <v>233</v>
      </c>
      <c r="D63" s="35">
        <v>0.0105</v>
      </c>
      <c r="E63" s="25">
        <v>283447.0</v>
      </c>
      <c r="F63" s="7"/>
      <c r="G63" s="25">
        <v>283447.0</v>
      </c>
      <c r="H63" s="7"/>
      <c r="I63" s="27" t="s">
        <v>234</v>
      </c>
      <c r="J63" s="7"/>
    </row>
    <row r="64" ht="15.0" customHeight="1">
      <c r="A64" s="20">
        <v>59.0</v>
      </c>
      <c r="B64" s="21" t="s">
        <v>235</v>
      </c>
      <c r="C64" s="22" t="s">
        <v>236</v>
      </c>
      <c r="D64" s="35">
        <v>0.0103</v>
      </c>
      <c r="E64" s="25">
        <v>279259.0</v>
      </c>
      <c r="F64" s="7"/>
      <c r="G64" s="27" t="s">
        <v>237</v>
      </c>
      <c r="H64" s="7"/>
      <c r="I64" s="26">
        <v>279259.0</v>
      </c>
      <c r="J64" s="7"/>
    </row>
    <row r="65" ht="15.0" customHeight="1">
      <c r="A65" s="20">
        <v>60.0</v>
      </c>
      <c r="B65" s="21" t="s">
        <v>238</v>
      </c>
      <c r="C65" s="22" t="s">
        <v>239</v>
      </c>
      <c r="D65" s="35">
        <v>0.0186</v>
      </c>
      <c r="E65" s="25">
        <v>1721303.0</v>
      </c>
      <c r="F65" s="7"/>
      <c r="G65" s="25">
        <v>453080.0</v>
      </c>
      <c r="H65" s="7"/>
      <c r="I65" s="26">
        <v>1268223.0</v>
      </c>
      <c r="J65" s="7"/>
    </row>
    <row r="66" ht="15.0" customHeight="1">
      <c r="A66" s="20">
        <v>61.0</v>
      </c>
      <c r="B66" s="21" t="s">
        <v>240</v>
      </c>
      <c r="C66" s="22" t="s">
        <v>241</v>
      </c>
      <c r="D66" s="35">
        <v>0.0176</v>
      </c>
      <c r="E66" s="25">
        <v>432137.0</v>
      </c>
      <c r="F66" s="7"/>
      <c r="G66" s="25">
        <v>432137.0</v>
      </c>
      <c r="H66" s="7"/>
      <c r="I66" s="27" t="s">
        <v>242</v>
      </c>
      <c r="J66" s="7"/>
    </row>
    <row r="67" ht="15.0" customHeight="1">
      <c r="A67" s="20">
        <v>62.0</v>
      </c>
      <c r="B67" s="21" t="s">
        <v>243</v>
      </c>
      <c r="C67" s="22" t="s">
        <v>244</v>
      </c>
      <c r="D67" s="35">
        <v>0.0103</v>
      </c>
      <c r="E67" s="25">
        <v>279259.0</v>
      </c>
      <c r="F67" s="7"/>
      <c r="G67" s="25">
        <v>279259.0</v>
      </c>
      <c r="H67" s="7"/>
      <c r="I67" s="27" t="s">
        <v>245</v>
      </c>
      <c r="J67" s="7"/>
    </row>
    <row r="68" ht="15.0" customHeight="1">
      <c r="A68" s="20">
        <v>63.0</v>
      </c>
      <c r="B68" s="21" t="s">
        <v>246</v>
      </c>
      <c r="C68" s="22" t="s">
        <v>247</v>
      </c>
      <c r="D68" s="35">
        <v>0.0102</v>
      </c>
      <c r="E68" s="25">
        <v>277164.0</v>
      </c>
      <c r="F68" s="7"/>
      <c r="G68" s="25">
        <v>277164.0</v>
      </c>
      <c r="H68" s="7"/>
      <c r="I68" s="27" t="s">
        <v>248</v>
      </c>
      <c r="J68" s="7"/>
    </row>
    <row r="69" ht="15.0" customHeight="1">
      <c r="A69" s="20">
        <v>64.0</v>
      </c>
      <c r="B69" s="21" t="s">
        <v>249</v>
      </c>
      <c r="C69" s="22" t="s">
        <v>250</v>
      </c>
      <c r="D69" s="35">
        <v>0.0193</v>
      </c>
      <c r="E69" s="25">
        <v>467739.0</v>
      </c>
      <c r="F69" s="7"/>
      <c r="G69" s="25">
        <v>467739.0</v>
      </c>
      <c r="H69" s="7"/>
      <c r="I69" s="27" t="s">
        <v>251</v>
      </c>
      <c r="J69" s="7"/>
    </row>
    <row r="70" ht="15.0" customHeight="1">
      <c r="A70" s="20">
        <v>65.0</v>
      </c>
      <c r="B70" s="21" t="s">
        <v>252</v>
      </c>
      <c r="C70" s="22" t="s">
        <v>253</v>
      </c>
      <c r="D70" s="35">
        <v>0.0173</v>
      </c>
      <c r="E70" s="25">
        <v>425855.0</v>
      </c>
      <c r="F70" s="7"/>
      <c r="G70" s="25">
        <v>425855.0</v>
      </c>
      <c r="H70" s="7"/>
      <c r="I70" s="27" t="s">
        <v>254</v>
      </c>
      <c r="J70" s="7"/>
    </row>
    <row r="71" ht="15.0" customHeight="1">
      <c r="A71" s="20">
        <v>66.0</v>
      </c>
      <c r="B71" s="21" t="s">
        <v>255</v>
      </c>
      <c r="C71" s="22" t="s">
        <v>256</v>
      </c>
      <c r="D71" s="35">
        <v>0.0102</v>
      </c>
      <c r="E71" s="25">
        <v>277164.0</v>
      </c>
      <c r="F71" s="7"/>
      <c r="G71" s="25">
        <v>277164.0</v>
      </c>
      <c r="H71" s="7"/>
      <c r="I71" s="27" t="s">
        <v>257</v>
      </c>
      <c r="J71" s="7"/>
    </row>
    <row r="72" ht="15.0" customHeight="1">
      <c r="A72" s="20">
        <v>67.0</v>
      </c>
      <c r="B72" s="21" t="s">
        <v>258</v>
      </c>
      <c r="C72" s="22" t="s">
        <v>259</v>
      </c>
      <c r="D72" s="35">
        <v>0.0102</v>
      </c>
      <c r="E72" s="25">
        <v>277164.0</v>
      </c>
      <c r="F72" s="7"/>
      <c r="G72" s="25">
        <v>277164.0</v>
      </c>
      <c r="H72" s="7"/>
      <c r="I72" s="27" t="s">
        <v>260</v>
      </c>
      <c r="J72" s="7"/>
    </row>
    <row r="73" ht="15.0" customHeight="1">
      <c r="A73" s="20">
        <v>68.0</v>
      </c>
      <c r="B73" s="21" t="s">
        <v>261</v>
      </c>
      <c r="C73" s="22" t="s">
        <v>262</v>
      </c>
      <c r="D73" s="35">
        <v>0.0169</v>
      </c>
      <c r="E73" s="25">
        <v>417478.0</v>
      </c>
      <c r="F73" s="7"/>
      <c r="G73" s="25">
        <v>417478.0</v>
      </c>
      <c r="H73" s="7"/>
      <c r="I73" s="27" t="s">
        <v>263</v>
      </c>
      <c r="J73" s="7"/>
    </row>
    <row r="74" ht="15.0" customHeight="1">
      <c r="A74" s="20">
        <v>69.0</v>
      </c>
      <c r="B74" s="21" t="s">
        <v>264</v>
      </c>
      <c r="C74" s="22" t="s">
        <v>265</v>
      </c>
      <c r="D74" s="35">
        <v>0.0413</v>
      </c>
      <c r="E74" s="25">
        <v>928470.0</v>
      </c>
      <c r="F74" s="7"/>
      <c r="G74" s="25">
        <v>928470.0</v>
      </c>
      <c r="H74" s="7"/>
      <c r="I74" s="27" t="s">
        <v>266</v>
      </c>
      <c r="J74" s="7"/>
    </row>
    <row r="75" ht="15.0" customHeight="1">
      <c r="A75" s="20">
        <v>70.0</v>
      </c>
      <c r="B75" s="21" t="s">
        <v>267</v>
      </c>
      <c r="C75" s="22" t="s">
        <v>268</v>
      </c>
      <c r="D75" s="35">
        <v>0.0413</v>
      </c>
      <c r="E75" s="25">
        <v>928470.0</v>
      </c>
      <c r="F75" s="7"/>
      <c r="G75" s="25">
        <v>928470.0</v>
      </c>
      <c r="H75" s="7"/>
      <c r="I75" s="27" t="s">
        <v>269</v>
      </c>
      <c r="J75" s="7"/>
    </row>
    <row r="76" ht="15.0" customHeight="1">
      <c r="A76" s="36"/>
      <c r="B76" s="37"/>
      <c r="C76" s="15" t="s">
        <v>270</v>
      </c>
      <c r="D76" s="38">
        <v>0.9979</v>
      </c>
      <c r="E76" s="39">
        <v>2.6294902E7</v>
      </c>
      <c r="F76" s="7"/>
      <c r="G76" s="39">
        <v>2.3940465E7</v>
      </c>
      <c r="H76" s="7"/>
      <c r="I76" s="39">
        <v>2354437.0</v>
      </c>
      <c r="J76" s="7"/>
    </row>
    <row r="77" ht="15.75" customHeight="1"/>
    <row r="78" ht="15.75" customHeight="1">
      <c r="A78" s="40" t="s">
        <v>271</v>
      </c>
    </row>
    <row r="79" ht="15.75" customHeight="1">
      <c r="A79" s="41" t="s">
        <v>272</v>
      </c>
      <c r="B79" s="41" t="s">
        <v>273</v>
      </c>
      <c r="C79" s="42" t="s">
        <v>274</v>
      </c>
      <c r="D79" s="41" t="s">
        <v>275</v>
      </c>
    </row>
    <row r="80" ht="15.75" customHeight="1">
      <c r="A80" s="43">
        <v>1.0</v>
      </c>
      <c r="B80" s="44" t="s">
        <v>276</v>
      </c>
      <c r="C80" s="45" t="s">
        <v>277</v>
      </c>
      <c r="D80" s="46">
        <v>1587.0</v>
      </c>
    </row>
    <row r="81" ht="15.75" customHeight="1">
      <c r="A81" s="43">
        <v>5.0</v>
      </c>
      <c r="B81" s="44" t="s">
        <v>278</v>
      </c>
      <c r="C81" s="45" t="s">
        <v>279</v>
      </c>
      <c r="D81" s="46">
        <v>2477.0</v>
      </c>
    </row>
    <row r="82" ht="15.75" customHeight="1">
      <c r="A82" s="43">
        <v>17.0</v>
      </c>
      <c r="B82" s="44" t="s">
        <v>280</v>
      </c>
      <c r="C82" s="45" t="s">
        <v>281</v>
      </c>
      <c r="D82" s="46">
        <v>351033.0</v>
      </c>
    </row>
    <row r="83" ht="15.75" customHeight="1">
      <c r="A83" s="43">
        <v>26.0</v>
      </c>
      <c r="B83" s="44" t="s">
        <v>282</v>
      </c>
      <c r="C83" s="45" t="s">
        <v>283</v>
      </c>
      <c r="D83" s="46">
        <v>421686.0</v>
      </c>
    </row>
    <row r="84" ht="15.75" customHeight="1">
      <c r="A84" s="43">
        <v>30.0</v>
      </c>
      <c r="B84" s="44" t="s">
        <v>284</v>
      </c>
      <c r="C84" s="45" t="s">
        <v>285</v>
      </c>
      <c r="D84" s="46">
        <v>464017.0</v>
      </c>
    </row>
    <row r="85" ht="15.75" customHeight="1">
      <c r="A85" s="43">
        <v>41.0</v>
      </c>
      <c r="B85" s="44" t="s">
        <v>286</v>
      </c>
      <c r="C85" s="45" t="s">
        <v>287</v>
      </c>
      <c r="D85" s="46">
        <v>313083.0</v>
      </c>
    </row>
    <row r="86" ht="15.75" customHeight="1">
      <c r="A86" s="43">
        <v>45.0</v>
      </c>
      <c r="B86" s="44" t="s">
        <v>288</v>
      </c>
      <c r="C86" s="45" t="s">
        <v>289</v>
      </c>
      <c r="D86" s="46">
        <v>312618.0</v>
      </c>
    </row>
    <row r="87" ht="15.75" customHeight="1">
      <c r="A87" s="43">
        <v>47.0</v>
      </c>
      <c r="B87" s="44" t="s">
        <v>290</v>
      </c>
      <c r="C87" s="45" t="s">
        <v>291</v>
      </c>
      <c r="D87" s="46">
        <v>380409.0</v>
      </c>
    </row>
    <row r="88" ht="15.75" customHeight="1">
      <c r="A88" s="43">
        <v>51.0</v>
      </c>
      <c r="B88" s="44" t="s">
        <v>292</v>
      </c>
      <c r="C88" s="45" t="s">
        <v>293</v>
      </c>
      <c r="D88" s="46">
        <v>198752.0</v>
      </c>
    </row>
    <row r="89" ht="15.75" customHeight="1">
      <c r="A89" s="43">
        <v>55.0</v>
      </c>
      <c r="B89" s="44" t="s">
        <v>294</v>
      </c>
      <c r="C89" s="45" t="s">
        <v>295</v>
      </c>
      <c r="D89" s="46">
        <v>115561.0</v>
      </c>
    </row>
    <row r="90" ht="15.75" customHeight="1">
      <c r="A90" s="43">
        <v>59.0</v>
      </c>
      <c r="B90" s="44" t="s">
        <v>296</v>
      </c>
      <c r="C90" s="45" t="s">
        <v>297</v>
      </c>
      <c r="D90" s="46">
        <v>301320.0</v>
      </c>
    </row>
    <row r="91" ht="15.75" customHeight="1">
      <c r="A91" s="43">
        <v>60.0</v>
      </c>
      <c r="B91" s="44" t="s">
        <v>298</v>
      </c>
      <c r="C91" s="45" t="s">
        <v>299</v>
      </c>
      <c r="D91" s="46">
        <v>1368413.0</v>
      </c>
    </row>
    <row r="92" ht="15.75" customHeight="1">
      <c r="A92" s="36"/>
      <c r="B92" s="37"/>
      <c r="C92" s="41" t="s">
        <v>300</v>
      </c>
      <c r="D92" s="47">
        <v>4230956.0</v>
      </c>
    </row>
    <row r="93" ht="15.75" customHeight="1"/>
    <row r="94" ht="15.75" customHeight="1"/>
    <row r="95" ht="15.75" customHeight="1">
      <c r="A95" s="48" t="s">
        <v>301</v>
      </c>
    </row>
    <row r="96" ht="15.75" customHeight="1">
      <c r="A96" s="49" t="s">
        <v>302</v>
      </c>
      <c r="B96" s="5"/>
      <c r="C96" s="5"/>
      <c r="D96" s="7"/>
      <c r="E96" s="50" t="s">
        <v>303</v>
      </c>
      <c r="F96" s="51"/>
      <c r="G96" s="51"/>
      <c r="H96" s="51"/>
      <c r="I96" s="52" t="s">
        <v>304</v>
      </c>
    </row>
    <row r="97" ht="15.75" customHeight="1">
      <c r="A97" s="53" t="s">
        <v>305</v>
      </c>
      <c r="B97" s="54"/>
      <c r="C97" s="54"/>
      <c r="D97" s="37"/>
      <c r="E97" s="55"/>
      <c r="F97" s="55"/>
      <c r="G97" s="55"/>
      <c r="H97" s="55"/>
      <c r="I97" s="56"/>
    </row>
    <row r="98" ht="15.75" customHeight="1">
      <c r="A98" s="57" t="s">
        <v>306</v>
      </c>
      <c r="B98" s="58"/>
      <c r="C98" s="58"/>
      <c r="D98" s="59"/>
      <c r="E98" s="60"/>
      <c r="F98" s="60"/>
      <c r="G98" s="60"/>
      <c r="H98" s="60"/>
      <c r="I98" s="61"/>
    </row>
    <row r="99" ht="15.75" customHeight="1">
      <c r="A99" s="62"/>
      <c r="B99" s="7"/>
      <c r="C99" s="62"/>
      <c r="D99" s="7"/>
      <c r="E99" s="63"/>
      <c r="F99" s="63"/>
      <c r="G99" s="63"/>
      <c r="H99" s="63"/>
      <c r="I99" s="61"/>
    </row>
    <row r="100" ht="15.75" customHeight="1">
      <c r="A100" s="64" t="s">
        <v>307</v>
      </c>
      <c r="B100" s="7"/>
      <c r="C100" s="65">
        <v>953961.0</v>
      </c>
      <c r="D100" s="63"/>
      <c r="E100" s="63"/>
      <c r="F100" s="63"/>
      <c r="G100" s="63"/>
      <c r="H100" s="63"/>
      <c r="I100" s="61"/>
    </row>
    <row r="101" ht="15.75" customHeight="1">
      <c r="A101" s="64" t="s">
        <v>308</v>
      </c>
      <c r="B101" s="7"/>
      <c r="C101" s="65">
        <v>228950.4</v>
      </c>
      <c r="D101" s="63"/>
      <c r="E101" s="63"/>
      <c r="F101" s="63"/>
      <c r="G101" s="63"/>
      <c r="H101" s="63"/>
      <c r="I101" s="61"/>
    </row>
    <row r="102" ht="15.75" customHeight="1">
      <c r="A102" s="64" t="s">
        <v>309</v>
      </c>
      <c r="B102" s="7"/>
      <c r="C102" s="65">
        <v>120000.0</v>
      </c>
      <c r="D102" s="63"/>
      <c r="E102" s="63"/>
      <c r="F102" s="63"/>
      <c r="G102" s="63"/>
      <c r="H102" s="63"/>
      <c r="I102" s="61"/>
    </row>
    <row r="103" ht="15.75" customHeight="1">
      <c r="A103" s="64" t="s">
        <v>310</v>
      </c>
      <c r="B103" s="7"/>
      <c r="C103" s="65">
        <v>122990.0</v>
      </c>
      <c r="D103" s="63"/>
      <c r="E103" s="63"/>
      <c r="F103" s="63"/>
      <c r="G103" s="63"/>
      <c r="H103" s="63"/>
      <c r="I103" s="61"/>
    </row>
    <row r="104" ht="15.75" customHeight="1">
      <c r="A104" s="64" t="s">
        <v>311</v>
      </c>
      <c r="B104" s="7"/>
      <c r="C104" s="65">
        <v>23977.4</v>
      </c>
      <c r="D104" s="63"/>
      <c r="E104" s="63"/>
      <c r="F104" s="63"/>
      <c r="G104" s="63"/>
      <c r="H104" s="63"/>
      <c r="I104" s="61"/>
    </row>
    <row r="105" ht="15.75" customHeight="1">
      <c r="A105" s="64" t="s">
        <v>312</v>
      </c>
      <c r="B105" s="7"/>
      <c r="C105" s="65">
        <v>23977.4</v>
      </c>
      <c r="D105" s="63"/>
      <c r="E105" s="63"/>
      <c r="F105" s="63"/>
      <c r="G105" s="63"/>
      <c r="H105" s="63"/>
      <c r="I105" s="61"/>
    </row>
    <row r="106" ht="15.75" customHeight="1">
      <c r="A106" s="64" t="s">
        <v>313</v>
      </c>
      <c r="B106" s="7"/>
      <c r="C106" s="65">
        <v>127649.3</v>
      </c>
      <c r="D106" s="63"/>
      <c r="E106" s="63"/>
      <c r="F106" s="63"/>
      <c r="G106" s="63"/>
      <c r="H106" s="63"/>
      <c r="I106" s="61"/>
    </row>
    <row r="107" ht="15.75" customHeight="1">
      <c r="A107" s="64" t="s">
        <v>314</v>
      </c>
      <c r="B107" s="7"/>
      <c r="C107" s="65">
        <v>66777.2</v>
      </c>
      <c r="D107" s="63"/>
      <c r="E107" s="63"/>
      <c r="F107" s="63"/>
      <c r="G107" s="63"/>
      <c r="H107" s="63"/>
      <c r="I107" s="61"/>
    </row>
    <row r="108" ht="15.75" customHeight="1">
      <c r="A108" s="64" t="s">
        <v>315</v>
      </c>
      <c r="B108" s="7"/>
      <c r="C108" s="63"/>
      <c r="D108" s="65">
        <v>183511.1</v>
      </c>
      <c r="E108" s="63"/>
      <c r="F108" s="63"/>
      <c r="G108" s="63"/>
      <c r="H108" s="63"/>
      <c r="I108" s="61"/>
    </row>
    <row r="109" ht="15.75" customHeight="1">
      <c r="A109" s="66" t="s">
        <v>316</v>
      </c>
      <c r="B109" s="67"/>
      <c r="C109" s="63"/>
      <c r="D109" s="65">
        <v>50048.48</v>
      </c>
      <c r="E109" s="63"/>
      <c r="F109" s="63"/>
      <c r="G109" s="63"/>
      <c r="H109" s="63"/>
      <c r="I109" s="61"/>
    </row>
    <row r="110" ht="15.75" customHeight="1">
      <c r="A110" s="64" t="s">
        <v>317</v>
      </c>
      <c r="B110" s="7"/>
      <c r="C110" s="63"/>
      <c r="D110" s="65">
        <v>50048.48</v>
      </c>
      <c r="E110" s="63"/>
      <c r="F110" s="63"/>
      <c r="G110" s="63"/>
      <c r="H110" s="63"/>
      <c r="I110" s="61"/>
    </row>
    <row r="111" ht="15.75" customHeight="1">
      <c r="A111" s="64" t="s">
        <v>318</v>
      </c>
      <c r="B111" s="7"/>
      <c r="C111" s="63"/>
      <c r="D111" s="65">
        <v>16682.83</v>
      </c>
      <c r="E111" s="63"/>
      <c r="F111" s="63"/>
      <c r="G111" s="63"/>
      <c r="H111" s="63"/>
      <c r="I111" s="61"/>
    </row>
    <row r="112" ht="15.75" customHeight="1">
      <c r="A112" s="64" t="s">
        <v>319</v>
      </c>
      <c r="B112" s="7"/>
      <c r="C112" s="63"/>
      <c r="D112" s="65">
        <v>16682.83</v>
      </c>
      <c r="E112" s="63"/>
      <c r="F112" s="63"/>
      <c r="G112" s="63"/>
      <c r="H112" s="63"/>
      <c r="I112" s="61"/>
    </row>
    <row r="113" ht="15.75" customHeight="1">
      <c r="A113" s="64" t="s">
        <v>320</v>
      </c>
      <c r="B113" s="7"/>
      <c r="C113" s="63"/>
      <c r="D113" s="65">
        <v>33365.65</v>
      </c>
      <c r="E113" s="63"/>
      <c r="F113" s="63"/>
      <c r="G113" s="63"/>
      <c r="H113" s="63"/>
      <c r="I113" s="61"/>
    </row>
    <row r="114" ht="15.75" customHeight="1">
      <c r="A114" s="64" t="s">
        <v>321</v>
      </c>
      <c r="B114" s="7"/>
      <c r="C114" s="63"/>
      <c r="D114" s="65">
        <v>30455.48</v>
      </c>
      <c r="E114" s="63"/>
      <c r="F114" s="63"/>
      <c r="G114" s="63"/>
      <c r="H114" s="63"/>
      <c r="I114" s="61"/>
    </row>
    <row r="115" ht="15.75" customHeight="1">
      <c r="A115" s="64" t="s">
        <v>322</v>
      </c>
      <c r="B115" s="7"/>
      <c r="C115" s="63"/>
      <c r="D115" s="65">
        <v>12512.12</v>
      </c>
      <c r="E115" s="63"/>
      <c r="F115" s="63"/>
      <c r="G115" s="63"/>
      <c r="H115" s="63"/>
      <c r="I115" s="61"/>
    </row>
    <row r="116" ht="15.75" customHeight="1">
      <c r="A116" s="64" t="s">
        <v>323</v>
      </c>
      <c r="B116" s="7"/>
      <c r="C116" s="65">
        <v>1668282.7</v>
      </c>
      <c r="D116" s="65">
        <v>393306.97</v>
      </c>
      <c r="E116" s="65">
        <v>1274975.73</v>
      </c>
      <c r="F116" s="63"/>
      <c r="G116" s="63"/>
      <c r="H116" s="63"/>
      <c r="I116" s="61"/>
    </row>
    <row r="117" ht="15.75" customHeight="1">
      <c r="A117" s="62"/>
      <c r="B117" s="5"/>
      <c r="C117" s="5"/>
      <c r="D117" s="7"/>
      <c r="E117" s="63"/>
      <c r="F117" s="63"/>
      <c r="G117" s="63"/>
      <c r="H117" s="63"/>
      <c r="I117" s="61"/>
    </row>
    <row r="118" ht="15.75" customHeight="1">
      <c r="A118" s="53" t="s">
        <v>324</v>
      </c>
      <c r="B118" s="54"/>
      <c r="C118" s="54"/>
      <c r="D118" s="37"/>
      <c r="E118" s="55"/>
      <c r="F118" s="55"/>
      <c r="G118" s="55"/>
      <c r="H118" s="55"/>
      <c r="I118" s="61"/>
    </row>
    <row r="119" ht="15.75" customHeight="1">
      <c r="A119" s="57" t="s">
        <v>325</v>
      </c>
      <c r="B119" s="58"/>
      <c r="C119" s="58"/>
      <c r="D119" s="59"/>
      <c r="E119" s="60"/>
      <c r="F119" s="60"/>
      <c r="G119" s="60"/>
      <c r="H119" s="60"/>
      <c r="I119" s="61"/>
    </row>
    <row r="120" ht="15.75" customHeight="1">
      <c r="A120" s="62"/>
      <c r="B120" s="7"/>
      <c r="C120" s="62"/>
      <c r="D120" s="7"/>
      <c r="E120" s="63"/>
      <c r="F120" s="63"/>
      <c r="G120" s="63"/>
      <c r="H120" s="63"/>
      <c r="I120" s="61"/>
    </row>
    <row r="121" ht="15.75" customHeight="1">
      <c r="A121" s="64" t="s">
        <v>326</v>
      </c>
      <c r="B121" s="7"/>
      <c r="C121" s="65">
        <v>489151.93</v>
      </c>
      <c r="D121" s="63"/>
      <c r="E121" s="63"/>
      <c r="F121" s="63"/>
      <c r="G121" s="63"/>
      <c r="H121" s="63"/>
      <c r="I121" s="61"/>
    </row>
    <row r="122" ht="15.75" customHeight="1">
      <c r="A122" s="64" t="s">
        <v>327</v>
      </c>
      <c r="B122" s="7"/>
      <c r="C122" s="65">
        <v>228950.4</v>
      </c>
      <c r="D122" s="63"/>
      <c r="E122" s="63"/>
      <c r="F122" s="63"/>
      <c r="G122" s="63"/>
      <c r="H122" s="63"/>
      <c r="I122" s="61"/>
    </row>
    <row r="123" ht="15.75" customHeight="1">
      <c r="A123" s="64" t="s">
        <v>328</v>
      </c>
      <c r="B123" s="7"/>
      <c r="C123" s="65">
        <v>61495.0</v>
      </c>
      <c r="D123" s="63"/>
      <c r="E123" s="63"/>
      <c r="F123" s="63"/>
      <c r="G123" s="63"/>
      <c r="H123" s="63"/>
      <c r="I123" s="61"/>
    </row>
    <row r="124" ht="15.75" customHeight="1">
      <c r="A124" s="64" t="s">
        <v>329</v>
      </c>
      <c r="B124" s="7"/>
      <c r="C124" s="65">
        <v>23977.4</v>
      </c>
      <c r="D124" s="63"/>
      <c r="E124" s="63"/>
      <c r="F124" s="63"/>
      <c r="G124" s="63"/>
      <c r="H124" s="63"/>
      <c r="I124" s="61"/>
    </row>
    <row r="125" ht="15.75" customHeight="1">
      <c r="A125" s="64" t="s">
        <v>330</v>
      </c>
      <c r="B125" s="7"/>
      <c r="C125" s="65">
        <v>23977.4</v>
      </c>
      <c r="D125" s="63"/>
      <c r="E125" s="63"/>
      <c r="F125" s="63"/>
      <c r="G125" s="63"/>
      <c r="H125" s="63"/>
      <c r="I125" s="61"/>
    </row>
    <row r="126" ht="15.75" customHeight="1">
      <c r="A126" s="64" t="s">
        <v>331</v>
      </c>
      <c r="B126" s="7"/>
      <c r="C126" s="65">
        <v>120000.0</v>
      </c>
      <c r="D126" s="63"/>
      <c r="E126" s="63"/>
      <c r="F126" s="63"/>
      <c r="G126" s="63"/>
      <c r="H126" s="63"/>
      <c r="I126" s="61"/>
    </row>
    <row r="127" ht="15.75" customHeight="1">
      <c r="A127" s="64" t="s">
        <v>332</v>
      </c>
      <c r="B127" s="7"/>
      <c r="C127" s="65">
        <v>42142.32</v>
      </c>
      <c r="D127" s="63"/>
      <c r="E127" s="63"/>
      <c r="F127" s="63"/>
      <c r="G127" s="63"/>
      <c r="H127" s="63"/>
      <c r="I127" s="61"/>
    </row>
    <row r="128" ht="15.75" customHeight="1">
      <c r="A128" s="64" t="s">
        <v>333</v>
      </c>
      <c r="B128" s="7"/>
      <c r="C128" s="65">
        <v>66777.2</v>
      </c>
      <c r="D128" s="63"/>
      <c r="E128" s="63"/>
      <c r="F128" s="63"/>
      <c r="G128" s="63"/>
      <c r="H128" s="63"/>
      <c r="I128" s="61"/>
    </row>
    <row r="129" ht="15.75" customHeight="1">
      <c r="A129" s="64" t="s">
        <v>334</v>
      </c>
      <c r="B129" s="7"/>
      <c r="C129" s="63"/>
      <c r="D129" s="65">
        <v>116211.88</v>
      </c>
      <c r="E129" s="63"/>
      <c r="F129" s="63"/>
      <c r="G129" s="63"/>
      <c r="H129" s="63"/>
      <c r="I129" s="61"/>
    </row>
    <row r="130" ht="15.75" customHeight="1">
      <c r="A130" s="66" t="s">
        <v>335</v>
      </c>
      <c r="B130" s="67"/>
      <c r="C130" s="63"/>
      <c r="D130" s="65">
        <v>31694.15</v>
      </c>
      <c r="E130" s="63"/>
      <c r="F130" s="63"/>
      <c r="G130" s="63"/>
      <c r="H130" s="63"/>
      <c r="I130" s="61"/>
    </row>
    <row r="131" ht="15.75" customHeight="1">
      <c r="A131" s="64" t="s">
        <v>336</v>
      </c>
      <c r="B131" s="7"/>
      <c r="C131" s="63"/>
      <c r="D131" s="65">
        <v>63388.3</v>
      </c>
      <c r="E131" s="63"/>
      <c r="F131" s="63"/>
      <c r="G131" s="63"/>
      <c r="H131" s="63"/>
      <c r="I131" s="61"/>
    </row>
    <row r="132" ht="15.75" customHeight="1">
      <c r="A132" s="64" t="s">
        <v>337</v>
      </c>
      <c r="B132" s="7"/>
      <c r="C132" s="63"/>
      <c r="D132" s="65">
        <v>10564.72</v>
      </c>
      <c r="E132" s="63"/>
      <c r="F132" s="63"/>
      <c r="G132" s="63"/>
      <c r="H132" s="63"/>
      <c r="I132" s="61"/>
    </row>
    <row r="133" ht="15.75" customHeight="1">
      <c r="A133" s="64" t="s">
        <v>338</v>
      </c>
      <c r="B133" s="7"/>
      <c r="C133" s="63"/>
      <c r="D133" s="65">
        <v>10564.72</v>
      </c>
      <c r="E133" s="63"/>
      <c r="F133" s="63"/>
      <c r="G133" s="63"/>
      <c r="H133" s="63"/>
      <c r="I133" s="61"/>
    </row>
    <row r="134" ht="15.75" customHeight="1">
      <c r="A134" s="64" t="s">
        <v>339</v>
      </c>
      <c r="B134" s="7"/>
      <c r="C134" s="63"/>
      <c r="D134" s="65">
        <v>23553.24</v>
      </c>
      <c r="E134" s="63"/>
      <c r="F134" s="63"/>
      <c r="G134" s="63"/>
      <c r="H134" s="63"/>
      <c r="I134" s="61"/>
    </row>
    <row r="135" ht="15.75" customHeight="1">
      <c r="A135" s="64" t="s">
        <v>340</v>
      </c>
      <c r="B135" s="7"/>
      <c r="C135" s="63"/>
      <c r="D135" s="65">
        <v>21129.43</v>
      </c>
      <c r="E135" s="63"/>
      <c r="F135" s="63"/>
      <c r="G135" s="63"/>
      <c r="H135" s="63"/>
      <c r="I135" s="61"/>
    </row>
    <row r="136" ht="15.75" customHeight="1">
      <c r="A136" s="64" t="s">
        <v>341</v>
      </c>
      <c r="B136" s="7"/>
      <c r="C136" s="63"/>
      <c r="D136" s="65">
        <v>7923.54</v>
      </c>
      <c r="E136" s="63"/>
      <c r="F136" s="63"/>
      <c r="G136" s="63"/>
      <c r="H136" s="63"/>
      <c r="I136" s="61"/>
    </row>
    <row r="137" ht="15.75" customHeight="1">
      <c r="A137" s="64" t="s">
        <v>342</v>
      </c>
      <c r="B137" s="7"/>
      <c r="C137" s="65">
        <v>1056471.65</v>
      </c>
      <c r="D137" s="65">
        <v>285029.97</v>
      </c>
      <c r="E137" s="65">
        <v>771441.68</v>
      </c>
      <c r="F137" s="63"/>
      <c r="G137" s="63"/>
      <c r="H137" s="63"/>
      <c r="I137" s="61"/>
    </row>
    <row r="138" ht="15.75" customHeight="1">
      <c r="A138" s="62"/>
      <c r="B138" s="5"/>
      <c r="C138" s="5"/>
      <c r="D138" s="7"/>
      <c r="E138" s="63"/>
      <c r="F138" s="63"/>
      <c r="G138" s="63"/>
      <c r="H138" s="63"/>
      <c r="I138" s="61"/>
    </row>
    <row r="139" ht="15.75" customHeight="1">
      <c r="A139" s="53" t="s">
        <v>343</v>
      </c>
      <c r="B139" s="54"/>
      <c r="C139" s="54"/>
      <c r="D139" s="37"/>
      <c r="E139" s="55"/>
      <c r="F139" s="55"/>
      <c r="G139" s="55"/>
      <c r="H139" s="55"/>
      <c r="I139" s="61"/>
    </row>
    <row r="140" ht="15.75" customHeight="1">
      <c r="A140" s="57" t="s">
        <v>344</v>
      </c>
      <c r="B140" s="58"/>
      <c r="C140" s="58"/>
      <c r="D140" s="59"/>
      <c r="E140" s="60"/>
      <c r="F140" s="60"/>
      <c r="G140" s="60"/>
      <c r="H140" s="60"/>
      <c r="I140" s="61"/>
    </row>
    <row r="141" ht="15.75" customHeight="1">
      <c r="A141" s="62"/>
      <c r="B141" s="7"/>
      <c r="C141" s="62"/>
      <c r="D141" s="7"/>
      <c r="E141" s="63"/>
      <c r="F141" s="63"/>
      <c r="G141" s="63"/>
      <c r="H141" s="63"/>
      <c r="I141" s="61"/>
    </row>
    <row r="142" ht="15.75" customHeight="1">
      <c r="A142" s="64" t="s">
        <v>345</v>
      </c>
      <c r="B142" s="7"/>
      <c r="C142" s="65">
        <v>715316.41</v>
      </c>
      <c r="D142" s="63"/>
      <c r="E142" s="63"/>
      <c r="F142" s="63"/>
      <c r="G142" s="63"/>
      <c r="H142" s="63"/>
      <c r="I142" s="61"/>
    </row>
    <row r="143" ht="15.75" customHeight="1">
      <c r="A143" s="64" t="s">
        <v>346</v>
      </c>
      <c r="B143" s="7"/>
      <c r="C143" s="65">
        <v>95396.0</v>
      </c>
      <c r="D143" s="63"/>
      <c r="E143" s="63"/>
      <c r="F143" s="63"/>
      <c r="G143" s="63"/>
      <c r="H143" s="63"/>
      <c r="I143" s="61"/>
    </row>
    <row r="144" ht="15.75" customHeight="1">
      <c r="A144" s="64" t="s">
        <v>347</v>
      </c>
      <c r="B144" s="7"/>
      <c r="C144" s="65">
        <v>61627.26</v>
      </c>
      <c r="D144" s="63"/>
      <c r="E144" s="63"/>
      <c r="F144" s="63"/>
      <c r="G144" s="63"/>
      <c r="H144" s="63"/>
      <c r="I144" s="61"/>
    </row>
    <row r="145" ht="15.75" customHeight="1">
      <c r="A145" s="64" t="s">
        <v>348</v>
      </c>
      <c r="B145" s="7"/>
      <c r="C145" s="65">
        <v>90000.0</v>
      </c>
      <c r="D145" s="63"/>
      <c r="E145" s="63"/>
      <c r="F145" s="63"/>
      <c r="G145" s="63"/>
      <c r="H145" s="63"/>
      <c r="I145" s="61"/>
    </row>
    <row r="146" ht="15.75" customHeight="1">
      <c r="A146" s="64" t="s">
        <v>349</v>
      </c>
      <c r="B146" s="7"/>
      <c r="C146" s="65">
        <v>66777.2</v>
      </c>
      <c r="D146" s="63"/>
      <c r="E146" s="63"/>
      <c r="F146" s="63"/>
      <c r="G146" s="63"/>
      <c r="H146" s="63"/>
      <c r="I146" s="61"/>
    </row>
    <row r="147" ht="15.75" customHeight="1">
      <c r="A147" s="64" t="s">
        <v>350</v>
      </c>
      <c r="B147" s="7"/>
      <c r="C147" s="63"/>
      <c r="D147" s="65">
        <v>113202.86</v>
      </c>
      <c r="E147" s="63"/>
      <c r="F147" s="63"/>
      <c r="G147" s="63"/>
      <c r="H147" s="63"/>
      <c r="I147" s="61"/>
    </row>
    <row r="148" ht="15.75" customHeight="1">
      <c r="A148" s="66" t="s">
        <v>351</v>
      </c>
      <c r="B148" s="67"/>
      <c r="C148" s="63"/>
      <c r="D148" s="65">
        <v>30873.51</v>
      </c>
      <c r="E148" s="63"/>
      <c r="F148" s="63"/>
      <c r="G148" s="63"/>
      <c r="H148" s="63"/>
      <c r="I148" s="61"/>
    </row>
    <row r="149" ht="15.75" customHeight="1">
      <c r="A149" s="64" t="s">
        <v>352</v>
      </c>
      <c r="B149" s="7"/>
      <c r="C149" s="63"/>
      <c r="D149" s="65">
        <v>41164.67</v>
      </c>
      <c r="E149" s="63"/>
      <c r="F149" s="63"/>
      <c r="G149" s="63"/>
      <c r="H149" s="63"/>
      <c r="I149" s="61"/>
    </row>
    <row r="150" ht="15.75" customHeight="1">
      <c r="A150" s="64" t="s">
        <v>353</v>
      </c>
      <c r="B150" s="7"/>
      <c r="C150" s="63"/>
      <c r="D150" s="65">
        <v>10291.17</v>
      </c>
      <c r="E150" s="63"/>
      <c r="F150" s="63"/>
      <c r="G150" s="63"/>
      <c r="H150" s="63"/>
      <c r="I150" s="61"/>
    </row>
    <row r="151" ht="15.75" customHeight="1">
      <c r="A151" s="64" t="s">
        <v>354</v>
      </c>
      <c r="B151" s="7"/>
      <c r="C151" s="63"/>
      <c r="D151" s="65">
        <v>10291.17</v>
      </c>
      <c r="E151" s="63"/>
      <c r="F151" s="63"/>
      <c r="G151" s="63"/>
      <c r="H151" s="63"/>
      <c r="I151" s="61"/>
    </row>
    <row r="152" ht="15.75" customHeight="1">
      <c r="A152" s="64" t="s">
        <v>355</v>
      </c>
      <c r="B152" s="7"/>
      <c r="C152" s="63"/>
      <c r="D152" s="65">
        <v>20237.67</v>
      </c>
      <c r="E152" s="63"/>
      <c r="F152" s="63"/>
      <c r="G152" s="63"/>
      <c r="H152" s="63"/>
      <c r="I152" s="61"/>
    </row>
    <row r="153" ht="15.75" customHeight="1">
      <c r="A153" s="64" t="s">
        <v>356</v>
      </c>
      <c r="B153" s="7"/>
      <c r="C153" s="63"/>
      <c r="D153" s="65">
        <v>20582.34</v>
      </c>
      <c r="E153" s="63"/>
      <c r="F153" s="63"/>
      <c r="G153" s="63"/>
      <c r="H153" s="63"/>
      <c r="I153" s="61"/>
    </row>
    <row r="154" ht="15.75" customHeight="1">
      <c r="A154" s="64" t="s">
        <v>357</v>
      </c>
      <c r="B154" s="7"/>
      <c r="C154" s="63"/>
      <c r="D154" s="65">
        <v>7718.38</v>
      </c>
      <c r="E154" s="63"/>
      <c r="F154" s="63"/>
      <c r="G154" s="63"/>
      <c r="H154" s="63"/>
      <c r="I154" s="61"/>
    </row>
    <row r="155" ht="15.75" customHeight="1">
      <c r="A155" s="64" t="s">
        <v>358</v>
      </c>
      <c r="B155" s="7"/>
      <c r="C155" s="65">
        <v>1029116.87</v>
      </c>
      <c r="D155" s="65">
        <v>254361.75</v>
      </c>
      <c r="E155" s="65">
        <v>774755.12</v>
      </c>
      <c r="F155" s="63"/>
      <c r="G155" s="63"/>
      <c r="H155" s="63"/>
      <c r="I155" s="61"/>
    </row>
    <row r="156" ht="15.75" customHeight="1">
      <c r="A156" s="62"/>
      <c r="B156" s="5"/>
      <c r="C156" s="5"/>
      <c r="D156" s="7"/>
      <c r="E156" s="63"/>
      <c r="F156" s="63"/>
      <c r="G156" s="63"/>
      <c r="H156" s="63"/>
      <c r="I156" s="61"/>
    </row>
    <row r="157" ht="15.75" customHeight="1">
      <c r="A157" s="64" t="s">
        <v>359</v>
      </c>
      <c r="B157" s="5"/>
      <c r="C157" s="5"/>
      <c r="D157" s="7"/>
      <c r="E157" s="65">
        <v>514540.0</v>
      </c>
      <c r="F157" s="63"/>
      <c r="G157" s="63"/>
      <c r="H157" s="63"/>
      <c r="I157" s="61"/>
    </row>
    <row r="158" ht="15.75" customHeight="1">
      <c r="A158" s="62"/>
      <c r="B158" s="5"/>
      <c r="C158" s="5"/>
      <c r="D158" s="5"/>
      <c r="E158" s="68"/>
      <c r="F158" s="69"/>
      <c r="G158" s="70" t="s">
        <v>360</v>
      </c>
      <c r="H158" s="71">
        <v>3335712.53</v>
      </c>
      <c r="I158" s="72">
        <v>0.16</v>
      </c>
    </row>
    <row r="159" ht="15.75" customHeight="1">
      <c r="A159" s="49" t="s">
        <v>361</v>
      </c>
      <c r="B159" s="5"/>
      <c r="C159" s="5"/>
      <c r="D159" s="7"/>
      <c r="E159" s="50" t="s">
        <v>362</v>
      </c>
      <c r="F159" s="51"/>
      <c r="G159" s="51"/>
      <c r="H159" s="51"/>
      <c r="I159" s="73"/>
    </row>
    <row r="160" ht="15.75" customHeight="1">
      <c r="A160" s="64" t="s">
        <v>363</v>
      </c>
      <c r="B160" s="7"/>
      <c r="C160" s="74" t="s">
        <v>364</v>
      </c>
      <c r="D160" s="7"/>
      <c r="E160" s="65">
        <v>1869307.73</v>
      </c>
      <c r="F160" s="63"/>
      <c r="G160" s="63"/>
      <c r="H160" s="63"/>
      <c r="I160" s="61"/>
    </row>
    <row r="161" ht="15.75" customHeight="1">
      <c r="A161" s="62"/>
      <c r="B161" s="7"/>
      <c r="C161" s="62"/>
      <c r="D161" s="7"/>
      <c r="E161" s="63"/>
      <c r="F161" s="63"/>
      <c r="G161" s="63"/>
      <c r="H161" s="63"/>
      <c r="I161" s="61"/>
    </row>
    <row r="162" ht="15.75" customHeight="1">
      <c r="A162" s="62"/>
      <c r="B162" s="75"/>
      <c r="C162" s="75"/>
      <c r="D162" s="75"/>
      <c r="E162" s="75"/>
      <c r="F162" s="75"/>
      <c r="G162" s="70" t="s">
        <v>365</v>
      </c>
      <c r="H162" s="71">
        <v>1869307.73</v>
      </c>
      <c r="I162" s="76">
        <v>0.09</v>
      </c>
    </row>
    <row r="163" ht="15.75" customHeight="1"/>
    <row r="164" ht="15.75" customHeight="1">
      <c r="A164" s="77" t="s">
        <v>366</v>
      </c>
      <c r="B164" s="7"/>
      <c r="C164" s="78" t="s">
        <v>367</v>
      </c>
      <c r="D164" s="51"/>
      <c r="E164" s="51"/>
      <c r="F164" s="51"/>
      <c r="G164" s="73"/>
    </row>
    <row r="165" ht="15.75" customHeight="1">
      <c r="A165" s="79" t="s">
        <v>368</v>
      </c>
      <c r="B165" s="80" t="s">
        <v>369</v>
      </c>
      <c r="C165" s="81">
        <v>588212.62</v>
      </c>
      <c r="D165" s="82"/>
      <c r="E165" s="82"/>
      <c r="F165" s="82"/>
      <c r="G165" s="61"/>
    </row>
    <row r="166" ht="15.75" customHeight="1">
      <c r="A166" s="63"/>
      <c r="B166" s="63"/>
      <c r="C166" s="63"/>
      <c r="D166" s="63"/>
      <c r="E166" s="63"/>
      <c r="F166" s="63"/>
      <c r="G166" s="61"/>
    </row>
    <row r="167" ht="15.75" customHeight="1">
      <c r="A167" s="83"/>
      <c r="B167" s="84"/>
      <c r="C167" s="84"/>
      <c r="D167" s="84"/>
      <c r="E167" s="85" t="s">
        <v>370</v>
      </c>
      <c r="F167" s="86">
        <v>588212.62</v>
      </c>
      <c r="G167" s="87">
        <v>0.03</v>
      </c>
    </row>
    <row r="168" ht="15.75" customHeight="1">
      <c r="A168" s="77" t="s">
        <v>371</v>
      </c>
      <c r="B168" s="7"/>
      <c r="C168" s="78" t="s">
        <v>372</v>
      </c>
      <c r="D168" s="51"/>
      <c r="E168" s="51"/>
      <c r="F168" s="51"/>
      <c r="G168" s="73"/>
    </row>
    <row r="169" ht="15.75" customHeight="1">
      <c r="A169" s="79" t="s">
        <v>373</v>
      </c>
      <c r="B169" s="80" t="s">
        <v>374</v>
      </c>
      <c r="C169" s="81">
        <v>17960.77</v>
      </c>
      <c r="D169" s="82"/>
      <c r="E169" s="82"/>
      <c r="F169" s="82"/>
      <c r="G169" s="61"/>
    </row>
    <row r="170" ht="15.75" customHeight="1">
      <c r="A170" s="79" t="s">
        <v>375</v>
      </c>
      <c r="B170" s="80" t="s">
        <v>376</v>
      </c>
      <c r="C170" s="81">
        <v>478174.53</v>
      </c>
      <c r="D170" s="82"/>
      <c r="E170" s="82"/>
      <c r="F170" s="82"/>
      <c r="G170" s="61"/>
    </row>
    <row r="171" ht="15.75" customHeight="1">
      <c r="A171" s="79" t="s">
        <v>377</v>
      </c>
      <c r="B171" s="80" t="s">
        <v>378</v>
      </c>
      <c r="C171" s="81">
        <v>1080116.21</v>
      </c>
      <c r="D171" s="82"/>
      <c r="E171" s="82"/>
      <c r="F171" s="82"/>
      <c r="G171" s="61"/>
    </row>
    <row r="172" ht="15.75" customHeight="1">
      <c r="A172" s="79" t="s">
        <v>379</v>
      </c>
      <c r="B172" s="80" t="s">
        <v>380</v>
      </c>
      <c r="C172" s="81">
        <v>1373311.15</v>
      </c>
      <c r="D172" s="82"/>
      <c r="E172" s="82"/>
      <c r="F172" s="82"/>
      <c r="G172" s="61"/>
    </row>
    <row r="173" ht="15.75" customHeight="1">
      <c r="A173" s="79" t="s">
        <v>381</v>
      </c>
      <c r="B173" s="80" t="s">
        <v>382</v>
      </c>
      <c r="C173" s="81">
        <v>36261.0</v>
      </c>
      <c r="D173" s="82"/>
      <c r="E173" s="82"/>
      <c r="F173" s="82"/>
      <c r="G173" s="61"/>
    </row>
    <row r="174" ht="15.75" customHeight="1">
      <c r="A174" s="63"/>
      <c r="B174" s="63"/>
      <c r="C174" s="63"/>
      <c r="D174" s="63"/>
      <c r="E174" s="63"/>
      <c r="F174" s="63"/>
      <c r="G174" s="61"/>
    </row>
    <row r="175" ht="15.75" customHeight="1">
      <c r="A175" s="83"/>
      <c r="B175" s="84"/>
      <c r="C175" s="84"/>
      <c r="D175" s="84"/>
      <c r="E175" s="85" t="s">
        <v>383</v>
      </c>
      <c r="F175" s="86">
        <v>2985823.66</v>
      </c>
      <c r="G175" s="87">
        <v>0.14</v>
      </c>
    </row>
    <row r="176" ht="15.75" customHeight="1">
      <c r="A176" s="77" t="s">
        <v>384</v>
      </c>
      <c r="B176" s="7"/>
      <c r="C176" s="78" t="s">
        <v>385</v>
      </c>
      <c r="D176" s="88"/>
      <c r="E176" s="89" t="s">
        <v>386</v>
      </c>
      <c r="F176" s="52" t="s">
        <v>387</v>
      </c>
      <c r="G176" s="73"/>
    </row>
    <row r="177" ht="15.75" customHeight="1">
      <c r="A177" s="79" t="s">
        <v>388</v>
      </c>
      <c r="B177" s="79" t="s">
        <v>389</v>
      </c>
      <c r="C177" s="82"/>
      <c r="D177" s="82"/>
      <c r="E177" s="90">
        <v>991552.38</v>
      </c>
      <c r="F177" s="82"/>
      <c r="G177" s="61"/>
    </row>
    <row r="178" ht="15.75" customHeight="1">
      <c r="A178" s="79" t="s">
        <v>390</v>
      </c>
      <c r="B178" s="79" t="s">
        <v>391</v>
      </c>
      <c r="C178" s="81">
        <v>87866.77</v>
      </c>
      <c r="D178" s="82"/>
      <c r="E178" s="82"/>
      <c r="F178" s="82"/>
      <c r="G178" s="61"/>
    </row>
    <row r="179" ht="15.75" customHeight="1">
      <c r="A179" s="79" t="s">
        <v>392</v>
      </c>
      <c r="B179" s="79" t="s">
        <v>393</v>
      </c>
      <c r="C179" s="82"/>
      <c r="D179" s="82"/>
      <c r="E179" s="90">
        <v>35009.09</v>
      </c>
      <c r="F179" s="82"/>
      <c r="G179" s="61"/>
    </row>
    <row r="180" ht="15.75" customHeight="1">
      <c r="A180" s="79" t="s">
        <v>394</v>
      </c>
      <c r="B180" s="79" t="s">
        <v>395</v>
      </c>
      <c r="C180" s="81">
        <v>54000.0</v>
      </c>
      <c r="D180" s="82"/>
      <c r="E180" s="82"/>
      <c r="F180" s="82"/>
      <c r="G180" s="61"/>
    </row>
    <row r="181" ht="15.75" customHeight="1">
      <c r="A181" s="79" t="s">
        <v>396</v>
      </c>
      <c r="B181" s="79" t="s">
        <v>397</v>
      </c>
      <c r="C181" s="81">
        <v>45000.0</v>
      </c>
      <c r="D181" s="82"/>
      <c r="E181" s="82"/>
      <c r="F181" s="82"/>
      <c r="G181" s="61"/>
    </row>
    <row r="182" ht="15.75" customHeight="1">
      <c r="A182" s="79" t="s">
        <v>398</v>
      </c>
      <c r="B182" s="79" t="s">
        <v>399</v>
      </c>
      <c r="C182" s="81">
        <v>55418.0</v>
      </c>
      <c r="D182" s="82"/>
      <c r="E182" s="82"/>
      <c r="F182" s="82"/>
      <c r="G182" s="61"/>
    </row>
    <row r="183" ht="15.75" customHeight="1">
      <c r="A183" s="79" t="s">
        <v>400</v>
      </c>
      <c r="B183" s="79" t="s">
        <v>401</v>
      </c>
      <c r="C183" s="81">
        <v>286687.72</v>
      </c>
      <c r="D183" s="82"/>
      <c r="E183" s="82"/>
      <c r="F183" s="82"/>
      <c r="G183" s="61"/>
    </row>
    <row r="184" ht="15.75" customHeight="1">
      <c r="A184" s="79" t="s">
        <v>402</v>
      </c>
      <c r="B184" s="79" t="s">
        <v>403</v>
      </c>
      <c r="C184" s="81">
        <v>90000.0</v>
      </c>
      <c r="D184" s="82"/>
      <c r="E184" s="82"/>
      <c r="F184" s="82"/>
      <c r="G184" s="61"/>
    </row>
    <row r="185" ht="15.75" customHeight="1">
      <c r="A185" s="79" t="s">
        <v>404</v>
      </c>
      <c r="B185" s="79" t="s">
        <v>405</v>
      </c>
      <c r="C185" s="82"/>
      <c r="D185" s="82"/>
      <c r="E185" s="82"/>
      <c r="F185" s="81">
        <v>7000000.0</v>
      </c>
      <c r="G185" s="61"/>
    </row>
    <row r="186" ht="15.75" customHeight="1">
      <c r="A186" s="83"/>
      <c r="B186" s="84"/>
      <c r="C186" s="84"/>
      <c r="D186" s="84"/>
      <c r="E186" s="85" t="s">
        <v>406</v>
      </c>
      <c r="F186" s="86">
        <v>8645533.96</v>
      </c>
      <c r="G186" s="87">
        <v>0.41</v>
      </c>
    </row>
    <row r="187" ht="15.75" customHeight="1">
      <c r="A187" s="77" t="s">
        <v>407</v>
      </c>
      <c r="B187" s="7"/>
      <c r="C187" s="78" t="s">
        <v>408</v>
      </c>
      <c r="D187" s="51"/>
      <c r="E187" s="51"/>
      <c r="F187" s="51"/>
      <c r="G187" s="73"/>
    </row>
    <row r="188" ht="15.75" customHeight="1">
      <c r="A188" s="91" t="s">
        <v>409</v>
      </c>
      <c r="B188" s="7"/>
      <c r="C188" s="81">
        <v>107988.84</v>
      </c>
      <c r="D188" s="82"/>
      <c r="E188" s="82"/>
      <c r="F188" s="82"/>
      <c r="G188" s="61"/>
    </row>
    <row r="189" ht="15.75" customHeight="1">
      <c r="A189" s="91" t="s">
        <v>410</v>
      </c>
      <c r="B189" s="7"/>
      <c r="C189" s="81">
        <v>245129.49</v>
      </c>
      <c r="D189" s="82"/>
      <c r="E189" s="82"/>
      <c r="F189" s="82"/>
      <c r="G189" s="61"/>
    </row>
    <row r="190" ht="15.75" customHeight="1">
      <c r="A190" s="83"/>
      <c r="B190" s="84"/>
      <c r="C190" s="84"/>
      <c r="D190" s="84"/>
      <c r="E190" s="85" t="s">
        <v>411</v>
      </c>
      <c r="F190" s="86">
        <v>353118.33</v>
      </c>
      <c r="G190" s="87">
        <v>0.02</v>
      </c>
    </row>
    <row r="191" ht="15.75" customHeight="1">
      <c r="A191" s="77" t="s">
        <v>412</v>
      </c>
      <c r="B191" s="7"/>
      <c r="C191" s="78" t="s">
        <v>413</v>
      </c>
      <c r="D191" s="51"/>
      <c r="E191" s="51"/>
      <c r="F191" s="51"/>
      <c r="G191" s="73"/>
    </row>
    <row r="192" ht="15.75" customHeight="1">
      <c r="A192" s="79" t="s">
        <v>414</v>
      </c>
      <c r="B192" s="79" t="s">
        <v>415</v>
      </c>
      <c r="C192" s="81">
        <v>199165.23</v>
      </c>
      <c r="D192" s="82"/>
      <c r="E192" s="82"/>
      <c r="F192" s="82"/>
      <c r="G192" s="61"/>
    </row>
    <row r="193" ht="15.75" customHeight="1">
      <c r="A193" s="79" t="s">
        <v>416</v>
      </c>
      <c r="B193" s="80" t="s">
        <v>417</v>
      </c>
      <c r="C193" s="81">
        <v>12692.0</v>
      </c>
      <c r="D193" s="82"/>
      <c r="E193" s="82"/>
      <c r="F193" s="82"/>
      <c r="G193" s="61"/>
    </row>
    <row r="194" ht="15.75" customHeight="1">
      <c r="A194" s="83"/>
      <c r="B194" s="84"/>
      <c r="C194" s="84"/>
      <c r="D194" s="84"/>
      <c r="E194" s="85" t="s">
        <v>418</v>
      </c>
      <c r="F194" s="86">
        <v>211857.23</v>
      </c>
      <c r="G194" s="87">
        <v>0.01</v>
      </c>
    </row>
    <row r="195" ht="15.75" customHeight="1">
      <c r="A195" s="77" t="s">
        <v>419</v>
      </c>
      <c r="B195" s="7"/>
      <c r="C195" s="88"/>
      <c r="D195" s="88" t="s">
        <v>420</v>
      </c>
      <c r="E195" s="89" t="s">
        <v>421</v>
      </c>
      <c r="F195" s="88"/>
      <c r="G195" s="73"/>
    </row>
    <row r="196" ht="15.75" customHeight="1">
      <c r="A196" s="79" t="s">
        <v>422</v>
      </c>
      <c r="B196" s="79" t="s">
        <v>423</v>
      </c>
      <c r="C196" s="82"/>
      <c r="D196" s="81">
        <v>2525560.21</v>
      </c>
      <c r="E196" s="82"/>
      <c r="F196" s="82"/>
      <c r="G196" s="61"/>
    </row>
    <row r="197" ht="15.75" customHeight="1">
      <c r="A197" s="63"/>
      <c r="B197" s="63"/>
      <c r="C197" s="63"/>
      <c r="D197" s="63"/>
      <c r="E197" s="63"/>
      <c r="F197" s="63"/>
      <c r="G197" s="61"/>
    </row>
    <row r="198" ht="15.75" customHeight="1">
      <c r="A198" s="83"/>
      <c r="B198" s="84"/>
      <c r="C198" s="84"/>
      <c r="D198" s="84"/>
      <c r="E198" s="85" t="s">
        <v>424</v>
      </c>
      <c r="F198" s="86">
        <v>2525560.21</v>
      </c>
      <c r="G198" s="87">
        <v>0.12</v>
      </c>
    </row>
    <row r="199" ht="15.75" customHeight="1">
      <c r="A199" s="77" t="s">
        <v>425</v>
      </c>
      <c r="B199" s="7"/>
      <c r="C199" s="78" t="s">
        <v>426</v>
      </c>
      <c r="D199" s="88"/>
      <c r="E199" s="89" t="s">
        <v>427</v>
      </c>
      <c r="F199" s="52" t="s">
        <v>428</v>
      </c>
      <c r="G199" s="73"/>
    </row>
    <row r="200" ht="15.75" customHeight="1">
      <c r="A200" s="79" t="s">
        <v>429</v>
      </c>
      <c r="B200" s="79" t="s">
        <v>430</v>
      </c>
      <c r="C200" s="81">
        <v>40000.0</v>
      </c>
      <c r="D200" s="82"/>
      <c r="E200" s="82"/>
      <c r="F200" s="82"/>
      <c r="G200" s="61"/>
    </row>
    <row r="201" ht="15.75" customHeight="1">
      <c r="A201" s="63"/>
      <c r="B201" s="63"/>
      <c r="C201" s="63"/>
      <c r="D201" s="63"/>
      <c r="E201" s="63"/>
      <c r="F201" s="63"/>
      <c r="G201" s="61"/>
    </row>
    <row r="202" ht="15.75" customHeight="1">
      <c r="A202" s="83"/>
      <c r="B202" s="84"/>
      <c r="C202" s="84"/>
      <c r="D202" s="84"/>
      <c r="E202" s="85" t="s">
        <v>431</v>
      </c>
      <c r="F202" s="86">
        <v>40000.0</v>
      </c>
      <c r="G202" s="87">
        <v>0.0</v>
      </c>
    </row>
    <row r="203" ht="15.75" customHeight="1">
      <c r="A203" s="77" t="s">
        <v>432</v>
      </c>
      <c r="B203" s="7"/>
      <c r="C203" s="78" t="s">
        <v>433</v>
      </c>
      <c r="D203" s="51"/>
      <c r="E203" s="89" t="s">
        <v>434</v>
      </c>
      <c r="F203" s="89" t="s">
        <v>435</v>
      </c>
      <c r="G203" s="73"/>
    </row>
    <row r="204" ht="15.75" customHeight="1">
      <c r="A204" s="91" t="s">
        <v>436</v>
      </c>
      <c r="B204" s="7"/>
      <c r="C204" s="81">
        <v>125000.0</v>
      </c>
      <c r="D204" s="82"/>
      <c r="E204" s="82"/>
      <c r="F204" s="82"/>
      <c r="G204" s="61"/>
    </row>
    <row r="205" ht="15.75" customHeight="1">
      <c r="A205" s="91" t="s">
        <v>437</v>
      </c>
      <c r="B205" s="7"/>
      <c r="C205" s="81">
        <v>20000.0</v>
      </c>
      <c r="D205" s="82"/>
      <c r="E205" s="82"/>
      <c r="F205" s="82"/>
      <c r="G205" s="61"/>
    </row>
    <row r="206" ht="15.75" customHeight="1">
      <c r="A206" s="62"/>
      <c r="B206" s="7"/>
      <c r="C206" s="63"/>
      <c r="D206" s="63"/>
      <c r="E206" s="63"/>
      <c r="F206" s="63"/>
      <c r="G206" s="61"/>
    </row>
    <row r="207" ht="15.75" customHeight="1">
      <c r="A207" s="83"/>
      <c r="B207" s="84"/>
      <c r="C207" s="84"/>
      <c r="D207" s="84"/>
      <c r="E207" s="85" t="s">
        <v>438</v>
      </c>
      <c r="F207" s="86">
        <v>145000.0</v>
      </c>
      <c r="G207" s="87">
        <v>0.01</v>
      </c>
    </row>
    <row r="208" ht="15.75" customHeight="1">
      <c r="A208" s="77" t="s">
        <v>439</v>
      </c>
      <c r="B208" s="7"/>
      <c r="C208" s="78" t="s">
        <v>440</v>
      </c>
      <c r="D208" s="51"/>
      <c r="E208" s="51"/>
      <c r="F208" s="51"/>
      <c r="G208" s="73"/>
    </row>
    <row r="209" ht="15.75" customHeight="1">
      <c r="A209" s="92" t="s">
        <v>441</v>
      </c>
      <c r="B209" s="79" t="s">
        <v>442</v>
      </c>
      <c r="C209" s="81">
        <v>495000.0</v>
      </c>
      <c r="D209" s="82"/>
      <c r="E209" s="82"/>
      <c r="F209" s="82"/>
      <c r="G209" s="61"/>
    </row>
    <row r="210" ht="15.75" customHeight="1">
      <c r="A210" s="83"/>
      <c r="B210" s="84"/>
      <c r="C210" s="84"/>
      <c r="D210" s="84"/>
      <c r="E210" s="85" t="s">
        <v>443</v>
      </c>
      <c r="F210" s="86">
        <v>495000.0</v>
      </c>
      <c r="G210" s="87">
        <v>0.02</v>
      </c>
    </row>
    <row r="211" ht="15.75" customHeight="1">
      <c r="A211" s="93"/>
      <c r="B211" s="94" t="s">
        <v>444</v>
      </c>
      <c r="C211" s="95">
        <v>1.064300459E7</v>
      </c>
      <c r="D211" s="95">
        <v>2525560.21</v>
      </c>
      <c r="E211" s="96">
        <v>1026561.47</v>
      </c>
      <c r="F211" s="97">
        <v>7000000.0</v>
      </c>
      <c r="G211" s="98"/>
    </row>
    <row r="212" ht="15.75" customHeight="1">
      <c r="A212" s="99" t="s">
        <v>445</v>
      </c>
      <c r="B212" s="100"/>
      <c r="C212" s="100"/>
      <c r="D212" s="100"/>
      <c r="E212" s="101"/>
      <c r="F212" s="102">
        <v>2.119512627E7</v>
      </c>
      <c r="G212" s="103">
        <v>1.0</v>
      </c>
    </row>
    <row r="213" ht="15.75" customHeight="1"/>
    <row r="214" ht="15.75" customHeight="1"/>
    <row r="215" ht="15.75" customHeight="1">
      <c r="A215" s="19" t="s">
        <v>446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7"/>
    </row>
    <row r="216" ht="15.75" customHeight="1">
      <c r="A216" s="104" t="s">
        <v>447</v>
      </c>
      <c r="B216" s="5"/>
      <c r="C216" s="5"/>
      <c r="D216" s="5"/>
      <c r="E216" s="5"/>
      <c r="F216" s="5"/>
      <c r="G216" s="5"/>
      <c r="H216" s="5"/>
      <c r="I216" s="5"/>
      <c r="J216" s="7"/>
      <c r="K216" s="105">
        <v>219206.87</v>
      </c>
      <c r="L216" s="7"/>
    </row>
    <row r="217" ht="15.75" customHeight="1">
      <c r="A217" s="106" t="s">
        <v>448</v>
      </c>
      <c r="B217" s="5"/>
      <c r="C217" s="5"/>
      <c r="D217" s="5"/>
      <c r="E217" s="5"/>
      <c r="F217" s="5"/>
      <c r="G217" s="5"/>
      <c r="H217" s="5"/>
      <c r="I217" s="5"/>
      <c r="J217" s="7"/>
      <c r="K217" s="107">
        <v>2.583001651E7</v>
      </c>
      <c r="L217" s="7"/>
    </row>
    <row r="218" ht="15.75" customHeight="1">
      <c r="A218" s="106" t="s">
        <v>449</v>
      </c>
      <c r="B218" s="5"/>
      <c r="C218" s="5"/>
      <c r="D218" s="5"/>
      <c r="E218" s="5"/>
      <c r="F218" s="5"/>
      <c r="G218" s="5"/>
      <c r="H218" s="5"/>
      <c r="I218" s="5"/>
      <c r="J218" s="7"/>
      <c r="K218" s="27" t="s">
        <v>450</v>
      </c>
      <c r="L218" s="108">
        <v>2860343.0</v>
      </c>
    </row>
    <row r="219" ht="15.75" customHeight="1">
      <c r="A219" s="106" t="s">
        <v>451</v>
      </c>
      <c r="B219" s="5"/>
      <c r="C219" s="5"/>
      <c r="D219" s="5"/>
      <c r="E219" s="5"/>
      <c r="F219" s="5"/>
      <c r="G219" s="5"/>
      <c r="H219" s="5"/>
      <c r="I219" s="5"/>
      <c r="J219" s="7"/>
      <c r="K219" s="106" t="s">
        <v>452</v>
      </c>
      <c r="L219" s="7"/>
    </row>
    <row r="220" ht="15.75" customHeight="1">
      <c r="A220" s="106" t="s">
        <v>453</v>
      </c>
      <c r="B220" s="5"/>
      <c r="C220" s="5"/>
      <c r="D220" s="5"/>
      <c r="E220" s="5"/>
      <c r="F220" s="5"/>
      <c r="G220" s="5"/>
      <c r="H220" s="5"/>
      <c r="I220" s="5"/>
      <c r="J220" s="7"/>
      <c r="K220" s="27" t="s">
        <v>454</v>
      </c>
      <c r="L220" s="108">
        <v>581163.19</v>
      </c>
    </row>
    <row r="221" ht="15.75" customHeight="1">
      <c r="A221" s="106" t="s">
        <v>455</v>
      </c>
      <c r="B221" s="5"/>
      <c r="C221" s="5"/>
      <c r="D221" s="5"/>
      <c r="E221" s="5"/>
      <c r="F221" s="5"/>
      <c r="G221" s="5"/>
      <c r="H221" s="5"/>
      <c r="I221" s="5"/>
      <c r="J221" s="7"/>
      <c r="K221" s="27" t="s">
        <v>456</v>
      </c>
      <c r="L221" s="108">
        <v>107988.84</v>
      </c>
    </row>
    <row r="222" ht="15.75" customHeight="1">
      <c r="A222" s="106" t="s">
        <v>457</v>
      </c>
      <c r="B222" s="5"/>
      <c r="C222" s="5"/>
      <c r="D222" s="5"/>
      <c r="E222" s="5"/>
      <c r="F222" s="5"/>
      <c r="G222" s="5"/>
      <c r="H222" s="5"/>
      <c r="I222" s="5"/>
      <c r="J222" s="7"/>
      <c r="K222" s="27" t="s">
        <v>458</v>
      </c>
      <c r="L222" s="108">
        <v>211857.23</v>
      </c>
    </row>
    <row r="223" ht="15.75" customHeight="1">
      <c r="A223" s="106" t="s">
        <v>459</v>
      </c>
      <c r="B223" s="5"/>
      <c r="C223" s="5"/>
      <c r="D223" s="5"/>
      <c r="E223" s="5"/>
      <c r="F223" s="5"/>
      <c r="G223" s="5"/>
      <c r="H223" s="5"/>
      <c r="I223" s="5"/>
      <c r="J223" s="7"/>
      <c r="K223" s="27" t="s">
        <v>460</v>
      </c>
      <c r="L223" s="108">
        <v>2985823.66</v>
      </c>
    </row>
    <row r="224" ht="15.75" customHeight="1">
      <c r="A224" s="106" t="s">
        <v>461</v>
      </c>
      <c r="B224" s="5"/>
      <c r="C224" s="5"/>
      <c r="D224" s="5"/>
      <c r="E224" s="5"/>
      <c r="F224" s="5"/>
      <c r="G224" s="5"/>
      <c r="H224" s="5"/>
      <c r="I224" s="5"/>
      <c r="J224" s="7"/>
      <c r="K224" s="27" t="s">
        <v>462</v>
      </c>
      <c r="L224" s="108">
        <v>8277719.26</v>
      </c>
    </row>
    <row r="225" ht="15.75" customHeight="1">
      <c r="A225" s="106" t="s">
        <v>463</v>
      </c>
      <c r="B225" s="5"/>
      <c r="C225" s="5"/>
      <c r="D225" s="5"/>
      <c r="E225" s="5"/>
      <c r="F225" s="5"/>
      <c r="G225" s="5"/>
      <c r="H225" s="5"/>
      <c r="I225" s="5"/>
      <c r="J225" s="7"/>
      <c r="K225" s="27" t="s">
        <v>464</v>
      </c>
      <c r="L225" s="108">
        <v>245129.49</v>
      </c>
    </row>
    <row r="226" ht="15.75" customHeight="1">
      <c r="A226" s="104" t="s">
        <v>465</v>
      </c>
      <c r="B226" s="5"/>
      <c r="C226" s="5"/>
      <c r="D226" s="5"/>
      <c r="E226" s="5"/>
      <c r="F226" s="5"/>
      <c r="G226" s="5"/>
      <c r="H226" s="5"/>
      <c r="I226" s="5"/>
      <c r="J226" s="7"/>
      <c r="K226" s="105">
        <v>1.077919871E7</v>
      </c>
      <c r="L226" s="7"/>
    </row>
    <row r="227" ht="15.75" customHeight="1"/>
    <row r="228" ht="15.75" customHeight="1"/>
    <row r="229" ht="15.75" customHeight="1">
      <c r="A229" s="109" t="s">
        <v>466</v>
      </c>
      <c r="B229" s="7"/>
      <c r="C229" s="109" t="s">
        <v>467</v>
      </c>
      <c r="D229" s="5"/>
      <c r="E229" s="7"/>
      <c r="F229" s="110" t="s">
        <v>468</v>
      </c>
      <c r="G229" s="111" t="s">
        <v>469</v>
      </c>
      <c r="H229" s="7"/>
      <c r="I229" s="112" t="s">
        <v>470</v>
      </c>
      <c r="J229" s="113" t="s">
        <v>471</v>
      </c>
      <c r="K229" s="54"/>
      <c r="L229" s="37"/>
    </row>
    <row r="230" ht="15.75" customHeight="1">
      <c r="A230" s="114" t="s">
        <v>472</v>
      </c>
      <c r="B230" s="5"/>
      <c r="C230" s="5"/>
      <c r="D230" s="5"/>
      <c r="E230" s="5"/>
      <c r="F230" s="7"/>
      <c r="G230" s="115">
        <v>6971493.0</v>
      </c>
      <c r="H230" s="7"/>
      <c r="I230" s="60"/>
      <c r="J230" s="116"/>
      <c r="K230" s="58"/>
      <c r="L230" s="59"/>
    </row>
    <row r="231" ht="15.75" customHeight="1">
      <c r="A231" s="109" t="s">
        <v>473</v>
      </c>
      <c r="B231" s="7"/>
      <c r="C231" s="79" t="s">
        <v>474</v>
      </c>
      <c r="D231" s="91" t="s">
        <v>475</v>
      </c>
      <c r="E231" s="7"/>
      <c r="F231" s="117">
        <v>1500000.0</v>
      </c>
      <c r="G231" s="118">
        <v>1500000.0</v>
      </c>
      <c r="H231" s="7"/>
      <c r="I231" s="79" t="s">
        <v>476</v>
      </c>
      <c r="J231" s="119" t="s">
        <v>477</v>
      </c>
      <c r="K231" s="5"/>
      <c r="L231" s="7"/>
    </row>
    <row r="232" ht="15.75" customHeight="1">
      <c r="A232" s="109" t="s">
        <v>478</v>
      </c>
      <c r="B232" s="7"/>
      <c r="C232" s="79" t="s">
        <v>479</v>
      </c>
      <c r="D232" s="91" t="s">
        <v>480</v>
      </c>
      <c r="E232" s="7"/>
      <c r="F232" s="117">
        <v>1500000.0</v>
      </c>
      <c r="G232" s="118">
        <v>1500000.0</v>
      </c>
      <c r="H232" s="7"/>
      <c r="I232" s="79" t="s">
        <v>481</v>
      </c>
      <c r="J232" s="119" t="s">
        <v>482</v>
      </c>
      <c r="K232" s="5"/>
      <c r="L232" s="7"/>
    </row>
    <row r="233" ht="15.75" customHeight="1">
      <c r="A233" s="109" t="s">
        <v>483</v>
      </c>
      <c r="B233" s="7"/>
      <c r="C233" s="79" t="s">
        <v>484</v>
      </c>
      <c r="D233" s="91" t="s">
        <v>485</v>
      </c>
      <c r="E233" s="7"/>
      <c r="F233" s="117">
        <v>1500000.0</v>
      </c>
      <c r="G233" s="118">
        <v>1500000.0</v>
      </c>
      <c r="H233" s="7"/>
      <c r="I233" s="79" t="s">
        <v>486</v>
      </c>
      <c r="J233" s="119" t="s">
        <v>487</v>
      </c>
      <c r="K233" s="5"/>
      <c r="L233" s="7"/>
    </row>
    <row r="234" ht="15.75" customHeight="1">
      <c r="A234" s="109" t="s">
        <v>488</v>
      </c>
      <c r="B234" s="7"/>
      <c r="C234" s="79" t="s">
        <v>489</v>
      </c>
      <c r="D234" s="91" t="s">
        <v>490</v>
      </c>
      <c r="E234" s="7"/>
      <c r="F234" s="117">
        <v>1500000.0</v>
      </c>
      <c r="G234" s="118">
        <v>1500000.0</v>
      </c>
      <c r="H234" s="7"/>
      <c r="I234" s="79" t="s">
        <v>491</v>
      </c>
      <c r="J234" s="119" t="s">
        <v>492</v>
      </c>
      <c r="K234" s="5"/>
      <c r="L234" s="7"/>
    </row>
    <row r="235" ht="15.75" customHeight="1">
      <c r="A235" s="109" t="s">
        <v>493</v>
      </c>
      <c r="B235" s="7"/>
      <c r="C235" s="79" t="s">
        <v>494</v>
      </c>
      <c r="D235" s="91" t="s">
        <v>495</v>
      </c>
      <c r="E235" s="7"/>
      <c r="F235" s="117">
        <v>1500000.0</v>
      </c>
      <c r="G235" s="120">
        <v>1315650.0</v>
      </c>
      <c r="H235" s="7"/>
      <c r="I235" s="79" t="s">
        <v>496</v>
      </c>
      <c r="J235" s="119" t="s">
        <v>497</v>
      </c>
      <c r="K235" s="5"/>
      <c r="L235" s="7"/>
      <c r="M235" s="32" t="s">
        <v>498</v>
      </c>
    </row>
    <row r="236" ht="15.75" customHeight="1">
      <c r="A236" s="121" t="s">
        <v>499</v>
      </c>
      <c r="B236" s="37"/>
      <c r="C236" s="79" t="s">
        <v>500</v>
      </c>
      <c r="D236" s="91" t="s">
        <v>501</v>
      </c>
      <c r="E236" s="7"/>
      <c r="F236" s="117">
        <v>7000000.0</v>
      </c>
      <c r="G236" s="120" t="s">
        <v>502</v>
      </c>
      <c r="H236" s="7"/>
      <c r="I236" s="79" t="s">
        <v>503</v>
      </c>
      <c r="J236" s="119" t="s">
        <v>504</v>
      </c>
      <c r="K236" s="5"/>
      <c r="L236" s="7"/>
      <c r="M236" s="32" t="s">
        <v>505</v>
      </c>
    </row>
    <row r="237" ht="15.75" customHeight="1">
      <c r="A237" s="61"/>
      <c r="B237" s="122"/>
      <c r="C237" s="79" t="s">
        <v>506</v>
      </c>
      <c r="D237" s="91" t="s">
        <v>507</v>
      </c>
      <c r="E237" s="7"/>
      <c r="F237" s="79" t="s">
        <v>508</v>
      </c>
      <c r="G237" s="91" t="s">
        <v>509</v>
      </c>
      <c r="H237" s="7"/>
      <c r="I237" s="123">
        <v>700000.0</v>
      </c>
      <c r="J237" s="124">
        <v>45996.0</v>
      </c>
      <c r="K237" s="5"/>
      <c r="L237" s="7"/>
      <c r="M237" s="32" t="s">
        <v>510</v>
      </c>
    </row>
    <row r="238" ht="15.75" customHeight="1">
      <c r="A238" s="61"/>
      <c r="B238" s="122"/>
      <c r="C238" s="79" t="s">
        <v>511</v>
      </c>
      <c r="D238" s="91" t="s">
        <v>512</v>
      </c>
      <c r="E238" s="7"/>
      <c r="F238" s="79" t="s">
        <v>513</v>
      </c>
      <c r="G238" s="91" t="s">
        <v>514</v>
      </c>
      <c r="H238" s="7"/>
      <c r="I238" s="123">
        <v>1000000.0</v>
      </c>
      <c r="J238" s="124">
        <v>46003.0</v>
      </c>
      <c r="K238" s="5"/>
      <c r="L238" s="7"/>
      <c r="M238" s="32" t="s">
        <v>510</v>
      </c>
    </row>
    <row r="239" ht="15.75" customHeight="1">
      <c r="A239" s="61"/>
      <c r="B239" s="122"/>
      <c r="C239" s="79" t="s">
        <v>515</v>
      </c>
      <c r="D239" s="91" t="s">
        <v>516</v>
      </c>
      <c r="E239" s="7"/>
      <c r="F239" s="79" t="s">
        <v>517</v>
      </c>
      <c r="G239" s="91" t="s">
        <v>518</v>
      </c>
      <c r="H239" s="7"/>
      <c r="I239" s="123">
        <v>1700000.0</v>
      </c>
      <c r="J239" s="124">
        <v>46009.0</v>
      </c>
      <c r="K239" s="5"/>
      <c r="L239" s="7"/>
      <c r="M239" s="2" t="s">
        <v>519</v>
      </c>
    </row>
    <row r="240" ht="15.75" customHeight="1">
      <c r="A240" s="61"/>
      <c r="B240" s="122"/>
      <c r="C240" s="79" t="s">
        <v>520</v>
      </c>
      <c r="D240" s="91" t="s">
        <v>521</v>
      </c>
      <c r="E240" s="7"/>
      <c r="F240" s="79" t="s">
        <v>522</v>
      </c>
      <c r="G240" s="91" t="s">
        <v>523</v>
      </c>
      <c r="H240" s="7"/>
      <c r="I240" s="123">
        <v>1500000.0</v>
      </c>
      <c r="J240" s="124">
        <v>46020.0</v>
      </c>
      <c r="K240" s="5"/>
      <c r="L240" s="7"/>
      <c r="M240" s="2" t="s">
        <v>519</v>
      </c>
    </row>
    <row r="241" ht="15.75" customHeight="1">
      <c r="A241" s="116"/>
      <c r="B241" s="59"/>
      <c r="C241" s="79" t="s">
        <v>524</v>
      </c>
      <c r="D241" s="91" t="s">
        <v>525</v>
      </c>
      <c r="E241" s="7"/>
      <c r="F241" s="79" t="s">
        <v>526</v>
      </c>
      <c r="G241" s="91" t="s">
        <v>527</v>
      </c>
      <c r="H241" s="7"/>
      <c r="I241" s="123">
        <v>1360711.0</v>
      </c>
      <c r="J241" s="124">
        <v>46021.0</v>
      </c>
      <c r="K241" s="5"/>
      <c r="L241" s="7"/>
      <c r="M241" s="2" t="s">
        <v>528</v>
      </c>
    </row>
    <row r="242" ht="15.75" customHeight="1">
      <c r="A242" s="121" t="s">
        <v>529</v>
      </c>
      <c r="B242" s="37"/>
      <c r="C242" s="79" t="s">
        <v>530</v>
      </c>
      <c r="D242" s="91" t="s">
        <v>531</v>
      </c>
      <c r="E242" s="7"/>
      <c r="F242" s="117">
        <v>7000000.0</v>
      </c>
      <c r="G242" s="120">
        <v>6426815.0</v>
      </c>
      <c r="H242" s="7"/>
      <c r="I242" s="79" t="s">
        <v>532</v>
      </c>
      <c r="J242" s="119" t="s">
        <v>533</v>
      </c>
      <c r="K242" s="5"/>
      <c r="L242" s="7"/>
      <c r="M242" s="32" t="s">
        <v>498</v>
      </c>
    </row>
    <row r="243" ht="15.75" customHeight="1">
      <c r="A243" s="61"/>
      <c r="B243" s="122"/>
      <c r="C243" s="79" t="s">
        <v>534</v>
      </c>
      <c r="D243" s="91" t="s">
        <v>535</v>
      </c>
      <c r="E243" s="7"/>
      <c r="F243" s="63"/>
      <c r="G243" s="62"/>
      <c r="H243" s="7"/>
      <c r="I243" s="123">
        <v>3300000.0</v>
      </c>
      <c r="J243" s="124">
        <v>46036.0</v>
      </c>
      <c r="K243" s="5"/>
      <c r="L243" s="7"/>
      <c r="M243" s="2"/>
    </row>
    <row r="244" ht="15.75" customHeight="1">
      <c r="A244" s="61"/>
      <c r="B244" s="122"/>
      <c r="C244" s="79" t="s">
        <v>536</v>
      </c>
      <c r="D244" s="91" t="s">
        <v>537</v>
      </c>
      <c r="E244" s="7"/>
      <c r="F244" s="63"/>
      <c r="G244" s="62"/>
      <c r="H244" s="7"/>
      <c r="I244" s="123">
        <v>2310000.0</v>
      </c>
      <c r="J244" s="124">
        <v>46030.0</v>
      </c>
      <c r="K244" s="5"/>
      <c r="L244" s="7"/>
      <c r="M244" s="2"/>
    </row>
    <row r="245" ht="15.75" customHeight="1">
      <c r="A245" s="61"/>
      <c r="B245" s="122"/>
      <c r="C245" s="79" t="s">
        <v>538</v>
      </c>
      <c r="D245" s="91" t="s">
        <v>539</v>
      </c>
      <c r="E245" s="7"/>
      <c r="F245" s="63"/>
      <c r="G245" s="62"/>
      <c r="H245" s="7"/>
      <c r="I245" s="123">
        <v>3300000.0</v>
      </c>
      <c r="J245" s="124">
        <v>46043.0</v>
      </c>
      <c r="K245" s="5"/>
      <c r="L245" s="7"/>
      <c r="M245" s="2"/>
    </row>
    <row r="246" ht="15.75" customHeight="1">
      <c r="A246" s="116"/>
      <c r="B246" s="59"/>
      <c r="C246" s="79" t="s">
        <v>540</v>
      </c>
      <c r="D246" s="91" t="s">
        <v>541</v>
      </c>
      <c r="E246" s="7"/>
      <c r="F246" s="63"/>
      <c r="G246" s="62"/>
      <c r="H246" s="7"/>
      <c r="I246" s="123">
        <v>3300000.0</v>
      </c>
      <c r="J246" s="124">
        <v>46050.0</v>
      </c>
      <c r="K246" s="5"/>
      <c r="L246" s="7"/>
      <c r="M246" s="2"/>
    </row>
    <row r="247" ht="15.75" customHeight="1">
      <c r="A247" s="113" t="s">
        <v>542</v>
      </c>
      <c r="B247" s="37"/>
      <c r="C247" s="79" t="s">
        <v>543</v>
      </c>
      <c r="D247" s="91" t="s">
        <v>544</v>
      </c>
      <c r="E247" s="7"/>
      <c r="F247" s="117">
        <v>7000000.0</v>
      </c>
      <c r="G247" s="120">
        <v>6111000.0</v>
      </c>
      <c r="H247" s="7"/>
      <c r="I247" s="79" t="s">
        <v>545</v>
      </c>
      <c r="J247" s="119" t="s">
        <v>546</v>
      </c>
      <c r="K247" s="5"/>
      <c r="L247" s="7"/>
      <c r="M247" s="32" t="s">
        <v>498</v>
      </c>
    </row>
    <row r="248" ht="15.75" customHeight="1">
      <c r="A248" s="116"/>
      <c r="B248" s="59"/>
      <c r="C248" s="79" t="s">
        <v>547</v>
      </c>
      <c r="D248" s="91" t="s">
        <v>548</v>
      </c>
      <c r="E248" s="7"/>
      <c r="F248" s="79" t="s">
        <v>549</v>
      </c>
      <c r="G248" s="91" t="s">
        <v>550</v>
      </c>
      <c r="H248" s="7"/>
      <c r="I248" s="123">
        <v>3000000.0</v>
      </c>
      <c r="J248" s="124">
        <v>46059.0</v>
      </c>
      <c r="K248" s="5"/>
      <c r="L248" s="7"/>
    </row>
    <row r="249" ht="15.75" customHeight="1">
      <c r="A249" s="36"/>
      <c r="B249" s="54"/>
      <c r="C249" s="37"/>
      <c r="D249" s="109" t="s">
        <v>551</v>
      </c>
      <c r="E249" s="7"/>
      <c r="F249" s="125">
        <v>2.85E7</v>
      </c>
      <c r="G249" s="126">
        <v>2.6824958E7</v>
      </c>
      <c r="H249" s="7"/>
      <c r="I249" s="127">
        <v>2.1470711E7</v>
      </c>
      <c r="J249" s="128"/>
      <c r="K249" s="54"/>
      <c r="L249" s="54"/>
    </row>
    <row r="250" ht="15.75" customHeight="1">
      <c r="C250" s="122"/>
      <c r="D250" s="129" t="s">
        <v>552</v>
      </c>
      <c r="E250" s="7"/>
      <c r="F250" s="130">
        <v>5354247.0</v>
      </c>
      <c r="G250" s="5"/>
      <c r="H250" s="5"/>
      <c r="I250" s="7"/>
      <c r="J250" s="131"/>
    </row>
    <row r="251" ht="15.75" customHeight="1"/>
    <row r="252" ht="15.75" customHeight="1">
      <c r="A252" s="132" t="s">
        <v>553</v>
      </c>
    </row>
    <row r="253" ht="15.75" customHeight="1"/>
    <row r="254" ht="15.75" customHeight="1"/>
    <row r="255" ht="15.75" customHeight="1">
      <c r="A255" s="133" t="s">
        <v>554</v>
      </c>
      <c r="B255" s="5"/>
      <c r="C255" s="5"/>
      <c r="D255" s="5"/>
      <c r="E255" s="5"/>
      <c r="F255" s="5"/>
      <c r="G255" s="7"/>
    </row>
    <row r="256" ht="15.75" customHeight="1">
      <c r="A256" s="134" t="s">
        <v>555</v>
      </c>
      <c r="B256" s="135" t="s">
        <v>556</v>
      </c>
      <c r="C256" s="5"/>
      <c r="D256" s="7"/>
      <c r="E256" s="136" t="s">
        <v>557</v>
      </c>
      <c r="F256" s="5"/>
      <c r="G256" s="7"/>
    </row>
    <row r="257" ht="15.75" customHeight="1">
      <c r="A257" s="137">
        <v>46063.0</v>
      </c>
      <c r="B257" s="91" t="s">
        <v>558</v>
      </c>
      <c r="C257" s="5"/>
      <c r="D257" s="7"/>
      <c r="E257" s="138">
        <v>1099727.0</v>
      </c>
      <c r="F257" s="5"/>
      <c r="G257" s="7"/>
    </row>
    <row r="258" ht="15.75" customHeight="1">
      <c r="A258" s="137">
        <v>46063.0</v>
      </c>
      <c r="B258" s="91" t="s">
        <v>559</v>
      </c>
      <c r="C258" s="5"/>
      <c r="D258" s="7"/>
      <c r="E258" s="138">
        <v>207159.0</v>
      </c>
      <c r="F258" s="5"/>
      <c r="G258" s="7"/>
    </row>
    <row r="259" ht="15.75" customHeight="1">
      <c r="A259" s="137">
        <v>46065.0</v>
      </c>
      <c r="B259" s="91" t="s">
        <v>560</v>
      </c>
      <c r="C259" s="5"/>
      <c r="D259" s="7"/>
      <c r="E259" s="138">
        <v>35700.0</v>
      </c>
      <c r="F259" s="5"/>
      <c r="G259" s="7"/>
    </row>
    <row r="260" ht="15.75" customHeight="1">
      <c r="A260" s="137">
        <v>46072.0</v>
      </c>
      <c r="B260" s="91" t="s">
        <v>561</v>
      </c>
      <c r="C260" s="5"/>
      <c r="D260" s="7"/>
      <c r="E260" s="138">
        <v>117020.0</v>
      </c>
      <c r="F260" s="5"/>
      <c r="G260" s="7"/>
    </row>
    <row r="261" ht="15.75" customHeight="1">
      <c r="A261" s="139"/>
      <c r="B261" s="133" t="s">
        <v>562</v>
      </c>
      <c r="C261" s="5"/>
      <c r="D261" s="7"/>
      <c r="E261" s="140">
        <v>1459606.0</v>
      </c>
      <c r="F261" s="5"/>
      <c r="G261" s="7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436">
    <mergeCell ref="J236:L236"/>
    <mergeCell ref="J237:L237"/>
    <mergeCell ref="J232:L232"/>
    <mergeCell ref="J238:L238"/>
    <mergeCell ref="J239:L239"/>
    <mergeCell ref="G238:H238"/>
    <mergeCell ref="G239:H239"/>
    <mergeCell ref="G232:H232"/>
    <mergeCell ref="G233:H233"/>
    <mergeCell ref="G234:H234"/>
    <mergeCell ref="G235:H235"/>
    <mergeCell ref="G236:H236"/>
    <mergeCell ref="G237:H237"/>
    <mergeCell ref="G240:H240"/>
    <mergeCell ref="G241:H241"/>
    <mergeCell ref="G246:H246"/>
    <mergeCell ref="G247:H247"/>
    <mergeCell ref="G243:H243"/>
    <mergeCell ref="G244:H244"/>
    <mergeCell ref="G245:H245"/>
    <mergeCell ref="J247:L247"/>
    <mergeCell ref="J248:L248"/>
    <mergeCell ref="J241:L241"/>
    <mergeCell ref="J242:L242"/>
    <mergeCell ref="J249:L249"/>
    <mergeCell ref="J250:L250"/>
    <mergeCell ref="J244:L244"/>
    <mergeCell ref="J245:L245"/>
    <mergeCell ref="J246:L246"/>
    <mergeCell ref="D243:E243"/>
    <mergeCell ref="D244:E244"/>
    <mergeCell ref="J240:L240"/>
    <mergeCell ref="J234:L234"/>
    <mergeCell ref="J235:L235"/>
    <mergeCell ref="G242:H242"/>
    <mergeCell ref="J243:L243"/>
    <mergeCell ref="D236:E236"/>
    <mergeCell ref="A236:B241"/>
    <mergeCell ref="A235:B235"/>
    <mergeCell ref="D237:E237"/>
    <mergeCell ref="A242:B246"/>
    <mergeCell ref="A247:B248"/>
    <mergeCell ref="A232:B232"/>
    <mergeCell ref="D233:E233"/>
    <mergeCell ref="D240:E240"/>
    <mergeCell ref="D232:E232"/>
    <mergeCell ref="D245:E245"/>
    <mergeCell ref="D246:E246"/>
    <mergeCell ref="D247:E247"/>
    <mergeCell ref="D248:E248"/>
    <mergeCell ref="G248:H248"/>
    <mergeCell ref="B261:D261"/>
    <mergeCell ref="E261:G261"/>
    <mergeCell ref="B257:D257"/>
    <mergeCell ref="B258:D258"/>
    <mergeCell ref="E258:G258"/>
    <mergeCell ref="B259:D259"/>
    <mergeCell ref="E259:G259"/>
    <mergeCell ref="B260:D260"/>
    <mergeCell ref="E260:G260"/>
    <mergeCell ref="D250:E250"/>
    <mergeCell ref="F250:I250"/>
    <mergeCell ref="A249:C250"/>
    <mergeCell ref="D249:E249"/>
    <mergeCell ref="A255:G255"/>
    <mergeCell ref="E256:G256"/>
    <mergeCell ref="B256:D256"/>
    <mergeCell ref="E257:G257"/>
    <mergeCell ref="G249:H249"/>
    <mergeCell ref="D234:E234"/>
    <mergeCell ref="D235:E235"/>
    <mergeCell ref="E74:F74"/>
    <mergeCell ref="G74:H74"/>
    <mergeCell ref="E76:F76"/>
    <mergeCell ref="G76:H76"/>
    <mergeCell ref="I74:J74"/>
    <mergeCell ref="I76:J76"/>
    <mergeCell ref="A1:K1"/>
    <mergeCell ref="A2:AC2"/>
    <mergeCell ref="A3:AA3"/>
    <mergeCell ref="A4:R4"/>
    <mergeCell ref="S4:AC4"/>
    <mergeCell ref="E5:F5"/>
    <mergeCell ref="G5:H5"/>
    <mergeCell ref="I5:J5"/>
    <mergeCell ref="E6:F6"/>
    <mergeCell ref="G6:H6"/>
    <mergeCell ref="I6:J6"/>
    <mergeCell ref="E11:F11"/>
    <mergeCell ref="G11:H11"/>
    <mergeCell ref="I11:J11"/>
    <mergeCell ref="E12:F12"/>
    <mergeCell ref="G12:H12"/>
    <mergeCell ref="I12:J12"/>
    <mergeCell ref="E13:F13"/>
    <mergeCell ref="G13:H13"/>
    <mergeCell ref="I13:J13"/>
    <mergeCell ref="E14:F14"/>
    <mergeCell ref="G14:H14"/>
    <mergeCell ref="I14:J14"/>
    <mergeCell ref="E15:F15"/>
    <mergeCell ref="G15:H15"/>
    <mergeCell ref="I15:J15"/>
    <mergeCell ref="E16:F16"/>
    <mergeCell ref="G16:H16"/>
    <mergeCell ref="I16:J16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E28:F28"/>
    <mergeCell ref="G28:H28"/>
    <mergeCell ref="I28:J28"/>
    <mergeCell ref="E29:F29"/>
    <mergeCell ref="G29:H29"/>
    <mergeCell ref="I29:J29"/>
    <mergeCell ref="E30:F30"/>
    <mergeCell ref="G30:H30"/>
    <mergeCell ref="I30:J30"/>
    <mergeCell ref="E31:F31"/>
    <mergeCell ref="G31:H31"/>
    <mergeCell ref="I31:J31"/>
    <mergeCell ref="E32:F32"/>
    <mergeCell ref="G32:H32"/>
    <mergeCell ref="I32:J32"/>
    <mergeCell ref="E33:F33"/>
    <mergeCell ref="G33:H33"/>
    <mergeCell ref="I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E37:F37"/>
    <mergeCell ref="G37:H37"/>
    <mergeCell ref="I37:J37"/>
    <mergeCell ref="G52:H52"/>
    <mergeCell ref="I52:J52"/>
    <mergeCell ref="G53:H53"/>
    <mergeCell ref="I53:J53"/>
    <mergeCell ref="E53:F53"/>
    <mergeCell ref="E54:F54"/>
    <mergeCell ref="G54:H54"/>
    <mergeCell ref="I54:J54"/>
    <mergeCell ref="E41:F41"/>
    <mergeCell ref="G41:H41"/>
    <mergeCell ref="I41:J41"/>
    <mergeCell ref="E42:F42"/>
    <mergeCell ref="E44:F44"/>
    <mergeCell ref="E45:F45"/>
    <mergeCell ref="G45:H45"/>
    <mergeCell ref="I45:J45"/>
    <mergeCell ref="G42:H42"/>
    <mergeCell ref="I42:J42"/>
    <mergeCell ref="E43:F43"/>
    <mergeCell ref="G43:H43"/>
    <mergeCell ref="I43:J43"/>
    <mergeCell ref="G44:H44"/>
    <mergeCell ref="I44:J44"/>
    <mergeCell ref="E46:F46"/>
    <mergeCell ref="G46:H46"/>
    <mergeCell ref="I46:J46"/>
    <mergeCell ref="E47:F47"/>
    <mergeCell ref="E49:F49"/>
    <mergeCell ref="E50:F50"/>
    <mergeCell ref="G50:H50"/>
    <mergeCell ref="I50:J50"/>
    <mergeCell ref="G56:H56"/>
    <mergeCell ref="I56:J56"/>
    <mergeCell ref="G7:H7"/>
    <mergeCell ref="I7:J7"/>
    <mergeCell ref="E7:F7"/>
    <mergeCell ref="G8:H8"/>
    <mergeCell ref="I8:J8"/>
    <mergeCell ref="E8:F8"/>
    <mergeCell ref="E9:F9"/>
    <mergeCell ref="G9:H9"/>
    <mergeCell ref="I9:J9"/>
    <mergeCell ref="E10:F10"/>
    <mergeCell ref="G10:H10"/>
    <mergeCell ref="I10:J10"/>
    <mergeCell ref="E40:F40"/>
    <mergeCell ref="G40:H40"/>
    <mergeCell ref="I40:J40"/>
    <mergeCell ref="E55:F55"/>
    <mergeCell ref="G55:H55"/>
    <mergeCell ref="I55:J55"/>
    <mergeCell ref="E56:F56"/>
    <mergeCell ref="E57:F57"/>
    <mergeCell ref="G57:H57"/>
    <mergeCell ref="I57:J57"/>
    <mergeCell ref="E58:F58"/>
    <mergeCell ref="E60:F60"/>
    <mergeCell ref="E61:F61"/>
    <mergeCell ref="G61:H61"/>
    <mergeCell ref="I61:J61"/>
    <mergeCell ref="G58:H58"/>
    <mergeCell ref="I58:J58"/>
    <mergeCell ref="E59:F59"/>
    <mergeCell ref="G59:H59"/>
    <mergeCell ref="I59:J59"/>
    <mergeCell ref="G60:H60"/>
    <mergeCell ref="I60:J60"/>
    <mergeCell ref="E38:F38"/>
    <mergeCell ref="G38:H38"/>
    <mergeCell ref="I38:J38"/>
    <mergeCell ref="G47:H47"/>
    <mergeCell ref="I47:J47"/>
    <mergeCell ref="E48:F48"/>
    <mergeCell ref="G48:H48"/>
    <mergeCell ref="I48:J48"/>
    <mergeCell ref="G49:H49"/>
    <mergeCell ref="I49:J49"/>
    <mergeCell ref="E51:F51"/>
    <mergeCell ref="G51:H51"/>
    <mergeCell ref="I51:J51"/>
    <mergeCell ref="E52:F52"/>
    <mergeCell ref="G65:H65"/>
    <mergeCell ref="I65:J65"/>
    <mergeCell ref="G66:H66"/>
    <mergeCell ref="I66:J66"/>
    <mergeCell ref="E66:F66"/>
    <mergeCell ref="E67:F67"/>
    <mergeCell ref="G67:H67"/>
    <mergeCell ref="I67:J67"/>
    <mergeCell ref="E39:F39"/>
    <mergeCell ref="G39:H39"/>
    <mergeCell ref="I39:J39"/>
    <mergeCell ref="E69:F69"/>
    <mergeCell ref="G69:H69"/>
    <mergeCell ref="I69:J69"/>
    <mergeCell ref="E70:F70"/>
    <mergeCell ref="G70:H70"/>
    <mergeCell ref="G72:H72"/>
    <mergeCell ref="I72:J72"/>
    <mergeCell ref="I70:J70"/>
    <mergeCell ref="E71:F71"/>
    <mergeCell ref="G71:H71"/>
    <mergeCell ref="I71:J71"/>
    <mergeCell ref="E72:F72"/>
    <mergeCell ref="E68:F68"/>
    <mergeCell ref="G68:H68"/>
    <mergeCell ref="I68:J68"/>
    <mergeCell ref="E64:F64"/>
    <mergeCell ref="G64:H64"/>
    <mergeCell ref="I64:J64"/>
    <mergeCell ref="E65:F65"/>
    <mergeCell ref="A76:B76"/>
    <mergeCell ref="E73:F73"/>
    <mergeCell ref="G73:H73"/>
    <mergeCell ref="I73:J73"/>
    <mergeCell ref="G62:H62"/>
    <mergeCell ref="I62:J62"/>
    <mergeCell ref="E62:F62"/>
    <mergeCell ref="E63:F63"/>
    <mergeCell ref="G63:H63"/>
    <mergeCell ref="I63:J63"/>
    <mergeCell ref="I75:J75"/>
    <mergeCell ref="A97:D97"/>
    <mergeCell ref="A98:D98"/>
    <mergeCell ref="A95:J95"/>
    <mergeCell ref="A96:D96"/>
    <mergeCell ref="E97:E98"/>
    <mergeCell ref="F97:F98"/>
    <mergeCell ref="G97:G98"/>
    <mergeCell ref="H97:H98"/>
    <mergeCell ref="E75:F75"/>
    <mergeCell ref="G75:H75"/>
    <mergeCell ref="A78:E78"/>
    <mergeCell ref="A92:B92"/>
    <mergeCell ref="A99:B99"/>
    <mergeCell ref="C99:D99"/>
    <mergeCell ref="A100:B100"/>
    <mergeCell ref="A116:B116"/>
    <mergeCell ref="A117:D117"/>
    <mergeCell ref="A118:D118"/>
    <mergeCell ref="E118:E119"/>
    <mergeCell ref="F118:F119"/>
    <mergeCell ref="G118:G119"/>
    <mergeCell ref="H118:H119"/>
    <mergeCell ref="G187:G189"/>
    <mergeCell ref="G164:G166"/>
    <mergeCell ref="G168:G174"/>
    <mergeCell ref="G176:G185"/>
    <mergeCell ref="G139:G140"/>
    <mergeCell ref="H139:H140"/>
    <mergeCell ref="G191:G193"/>
    <mergeCell ref="G195:G197"/>
    <mergeCell ref="G199:G201"/>
    <mergeCell ref="G203:G206"/>
    <mergeCell ref="G208:G209"/>
    <mergeCell ref="A156:D156"/>
    <mergeCell ref="A157:D157"/>
    <mergeCell ref="A158:E158"/>
    <mergeCell ref="A159:D159"/>
    <mergeCell ref="I159:I161"/>
    <mergeCell ref="A160:B160"/>
    <mergeCell ref="C160:D160"/>
    <mergeCell ref="A164:B164"/>
    <mergeCell ref="A138:D138"/>
    <mergeCell ref="A139:D139"/>
    <mergeCell ref="E139:E140"/>
    <mergeCell ref="F139:F140"/>
    <mergeCell ref="A142:B142"/>
    <mergeCell ref="A143:B143"/>
    <mergeCell ref="A144:B144"/>
    <mergeCell ref="A145:B145"/>
    <mergeCell ref="A146:B146"/>
    <mergeCell ref="A147:B147"/>
    <mergeCell ref="A136:B136"/>
    <mergeCell ref="A137:B137"/>
    <mergeCell ref="A140:D140"/>
    <mergeCell ref="A141:B141"/>
    <mergeCell ref="C141:D141"/>
    <mergeCell ref="I97:I157"/>
    <mergeCell ref="A119:D119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10:B110"/>
    <mergeCell ref="A111:B111"/>
    <mergeCell ref="A112:B112"/>
    <mergeCell ref="A113:B113"/>
    <mergeCell ref="A114:B114"/>
    <mergeCell ref="A115:B115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1:B131"/>
    <mergeCell ref="A132:B132"/>
    <mergeCell ref="A133:B133"/>
    <mergeCell ref="A134:B134"/>
    <mergeCell ref="A135:B135"/>
    <mergeCell ref="A161:B161"/>
    <mergeCell ref="C161:D161"/>
    <mergeCell ref="A120:B120"/>
    <mergeCell ref="C120:D120"/>
    <mergeCell ref="A149:B149"/>
    <mergeCell ref="A150:B150"/>
    <mergeCell ref="A151:B151"/>
    <mergeCell ref="A152:B152"/>
    <mergeCell ref="A153:B153"/>
    <mergeCell ref="A154:B154"/>
    <mergeCell ref="A155:B155"/>
    <mergeCell ref="A187:B187"/>
    <mergeCell ref="A188:B188"/>
    <mergeCell ref="A191:B191"/>
    <mergeCell ref="A195:B195"/>
    <mergeCell ref="A205:B205"/>
    <mergeCell ref="A203:B203"/>
    <mergeCell ref="A204:B204"/>
    <mergeCell ref="A168:B168"/>
    <mergeCell ref="A176:B176"/>
    <mergeCell ref="A189:B189"/>
    <mergeCell ref="A206:B206"/>
    <mergeCell ref="A208:B208"/>
    <mergeCell ref="A212:E212"/>
    <mergeCell ref="A199:B199"/>
    <mergeCell ref="A233:B233"/>
    <mergeCell ref="A234:B234"/>
    <mergeCell ref="A229:B229"/>
    <mergeCell ref="C229:E229"/>
    <mergeCell ref="A231:B231"/>
    <mergeCell ref="D231:E231"/>
    <mergeCell ref="D238:E238"/>
    <mergeCell ref="D239:E239"/>
    <mergeCell ref="D241:E241"/>
    <mergeCell ref="D242:E242"/>
    <mergeCell ref="J229:L230"/>
    <mergeCell ref="A230:F230"/>
    <mergeCell ref="J233:L233"/>
    <mergeCell ref="A215:L215"/>
    <mergeCell ref="A216:J216"/>
    <mergeCell ref="K216:L216"/>
    <mergeCell ref="A217:J217"/>
    <mergeCell ref="K217:L217"/>
    <mergeCell ref="A218:J218"/>
    <mergeCell ref="K219:L219"/>
    <mergeCell ref="A219:J219"/>
    <mergeCell ref="A220:J220"/>
    <mergeCell ref="A221:J221"/>
    <mergeCell ref="A222:J222"/>
    <mergeCell ref="A223:J223"/>
    <mergeCell ref="A224:J224"/>
    <mergeCell ref="A225:J225"/>
    <mergeCell ref="A226:J226"/>
    <mergeCell ref="K226:L226"/>
    <mergeCell ref="G229:H229"/>
    <mergeCell ref="I229:I230"/>
    <mergeCell ref="G230:H230"/>
    <mergeCell ref="J231:L231"/>
    <mergeCell ref="G231:H231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  <c r="D1" s="2"/>
      <c r="E1" s="2"/>
      <c r="F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>
        <v>46361.0</v>
      </c>
      <c r="B3" s="2" t="s">
        <v>8</v>
      </c>
      <c r="C3" s="6" t="str">
        <f>'12.2025'!L113</f>
        <v>#REF!</v>
      </c>
      <c r="D3" s="6">
        <v>1089415.0</v>
      </c>
      <c r="E3" s="6" t="str">
        <f t="shared" ref="E3:E14" si="1">C3-D3</f>
        <v>#REF!</v>
      </c>
      <c r="F3" s="2" t="s">
        <v>10</v>
      </c>
    </row>
    <row r="4">
      <c r="A4" s="9">
        <v>46361.0</v>
      </c>
      <c r="B4" s="10" t="s">
        <v>12</v>
      </c>
      <c r="C4" s="11" t="str">
        <f>'12.2025'!L132</f>
        <v>#REF!</v>
      </c>
      <c r="D4" s="11">
        <v>681302.0</v>
      </c>
      <c r="E4" s="11" t="str">
        <f t="shared" si="1"/>
        <v>#REF!</v>
      </c>
      <c r="F4" s="10" t="s">
        <v>13</v>
      </c>
    </row>
    <row r="5">
      <c r="A5" s="9">
        <v>46361.0</v>
      </c>
      <c r="B5" s="10" t="s">
        <v>14</v>
      </c>
      <c r="C5" s="11" t="str">
        <f>'12.2025'!L148</f>
        <v>#REF!</v>
      </c>
      <c r="D5" s="11">
        <v>688435.0</v>
      </c>
      <c r="E5" s="11" t="str">
        <f t="shared" si="1"/>
        <v>#REF!</v>
      </c>
      <c r="F5" s="10" t="s">
        <v>15</v>
      </c>
    </row>
    <row r="6">
      <c r="A6" s="3">
        <v>46374.0</v>
      </c>
      <c r="B6" s="2" t="s">
        <v>16</v>
      </c>
      <c r="C6" s="6" t="str">
        <f>'12.2025'!L114</f>
        <v>#REF!</v>
      </c>
      <c r="D6" s="6">
        <v>1287347.0</v>
      </c>
      <c r="E6" s="6" t="str">
        <f t="shared" si="1"/>
        <v>#REF!</v>
      </c>
      <c r="F6" s="2" t="s">
        <v>17</v>
      </c>
    </row>
    <row r="7">
      <c r="A7" s="3">
        <v>46374.0</v>
      </c>
      <c r="B7" s="2" t="s">
        <v>18</v>
      </c>
      <c r="C7" s="6" t="str">
        <f>'12.2025'!L133</f>
        <v>#REF!</v>
      </c>
      <c r="D7" s="6">
        <v>0.0</v>
      </c>
      <c r="E7" s="6" t="str">
        <f t="shared" si="1"/>
        <v>#REF!</v>
      </c>
      <c r="F7" s="2" t="s">
        <v>17</v>
      </c>
    </row>
    <row r="8">
      <c r="A8" s="3">
        <v>46374.0</v>
      </c>
      <c r="B8" s="2" t="s">
        <v>21</v>
      </c>
      <c r="C8" s="6" t="str">
        <f>'12.2025'!L149</f>
        <v>#REF!</v>
      </c>
      <c r="D8" s="6">
        <v>0.0</v>
      </c>
      <c r="E8" s="6" t="str">
        <f t="shared" si="1"/>
        <v>#REF!</v>
      </c>
      <c r="F8" s="2" t="s">
        <v>17</v>
      </c>
    </row>
    <row r="9">
      <c r="A9" s="3">
        <v>46368.0</v>
      </c>
      <c r="B9" s="2" t="s">
        <v>24</v>
      </c>
      <c r="C9" s="6" t="str">
        <f>'12.2025'!L153</f>
        <v>#REF!</v>
      </c>
      <c r="D9" s="6" t="str">
        <f>'12.2025'!F153</f>
        <v>#REF!</v>
      </c>
      <c r="E9" s="6" t="str">
        <f t="shared" si="1"/>
        <v>#REF!</v>
      </c>
      <c r="F9" s="2" t="s">
        <v>28</v>
      </c>
    </row>
    <row r="10">
      <c r="A10" s="3">
        <v>46368.0</v>
      </c>
      <c r="B10" s="2" t="s">
        <v>29</v>
      </c>
      <c r="C10" s="6">
        <v>15578.92</v>
      </c>
      <c r="D10" s="18">
        <v>679584.04</v>
      </c>
      <c r="E10" s="6">
        <f t="shared" si="1"/>
        <v>-664005.12</v>
      </c>
      <c r="F10" s="2" t="s">
        <v>32</v>
      </c>
    </row>
    <row r="11">
      <c r="A11" s="3">
        <v>46368.0</v>
      </c>
      <c r="B11" s="2" t="s">
        <v>33</v>
      </c>
      <c r="C11" s="6">
        <v>140210.29</v>
      </c>
      <c r="D11" s="6">
        <v>0.0</v>
      </c>
      <c r="E11" s="6">
        <f t="shared" si="1"/>
        <v>140210.29</v>
      </c>
      <c r="F11" s="2" t="s">
        <v>32</v>
      </c>
    </row>
    <row r="12">
      <c r="A12" s="3">
        <v>46368.0</v>
      </c>
      <c r="B12" s="2" t="s">
        <v>35</v>
      </c>
      <c r="C12" s="6">
        <v>255053.93</v>
      </c>
      <c r="D12" s="6">
        <v>0.0</v>
      </c>
      <c r="E12" s="6">
        <f t="shared" si="1"/>
        <v>255053.93</v>
      </c>
      <c r="F12" s="2" t="s">
        <v>32</v>
      </c>
    </row>
    <row r="13">
      <c r="A13" s="10" t="s">
        <v>37</v>
      </c>
      <c r="B13" s="10" t="s">
        <v>38</v>
      </c>
      <c r="C13" s="11">
        <v>1360711.3900000001</v>
      </c>
      <c r="D13" s="23">
        <v>3500000.0</v>
      </c>
      <c r="E13" s="11">
        <f t="shared" si="1"/>
        <v>-2139288.61</v>
      </c>
      <c r="F13" s="10" t="s">
        <v>39</v>
      </c>
    </row>
    <row r="14">
      <c r="A14" s="10">
        <v>46368.0</v>
      </c>
      <c r="B14" s="10" t="s">
        <v>40</v>
      </c>
      <c r="C14" s="11">
        <v>175845.0</v>
      </c>
      <c r="D14" s="23">
        <v>212900.0</v>
      </c>
      <c r="E14" s="11">
        <f t="shared" si="1"/>
        <v>-37055</v>
      </c>
      <c r="F14" s="10" t="s">
        <v>41</v>
      </c>
    </row>
    <row r="15">
      <c r="A15" s="3">
        <v>46361.0</v>
      </c>
      <c r="B15" s="2" t="s">
        <v>42</v>
      </c>
      <c r="C15" s="6">
        <v>2372281.23</v>
      </c>
      <c r="D15" s="18">
        <v>3704325.04</v>
      </c>
      <c r="E15" s="6">
        <f>D15-C15</f>
        <v>1332043.81</v>
      </c>
      <c r="F15" s="2" t="s">
        <v>32</v>
      </c>
    </row>
    <row r="16">
      <c r="A16" s="2"/>
      <c r="B16" s="2"/>
      <c r="C16" s="2"/>
      <c r="D16" s="2"/>
      <c r="E16" s="2"/>
      <c r="F16" s="2"/>
    </row>
    <row r="17">
      <c r="A17" s="1" t="s">
        <v>45</v>
      </c>
      <c r="B17" s="2"/>
      <c r="C17" s="2"/>
      <c r="D17" s="2"/>
      <c r="E17" s="2"/>
      <c r="F17" s="2"/>
    </row>
    <row r="18">
      <c r="A18" s="3" t="s">
        <v>47</v>
      </c>
      <c r="B18" s="2" t="s">
        <v>48</v>
      </c>
      <c r="C18" s="2">
        <v>32000.04</v>
      </c>
      <c r="D18" s="2" t="s">
        <v>49</v>
      </c>
      <c r="E18" s="2"/>
      <c r="F18" s="2"/>
    </row>
    <row r="19">
      <c r="A19" s="3" t="s">
        <v>51</v>
      </c>
      <c r="B19" s="2" t="s">
        <v>52</v>
      </c>
      <c r="C19" s="2">
        <v>32000.04</v>
      </c>
      <c r="D19" s="2" t="s">
        <v>54</v>
      </c>
      <c r="E19" s="2"/>
      <c r="F19" s="2"/>
    </row>
    <row r="20">
      <c r="A20" s="2" t="s">
        <v>55</v>
      </c>
      <c r="B20" s="2" t="s">
        <v>56</v>
      </c>
      <c r="C20" s="28">
        <v>87866.77</v>
      </c>
      <c r="D20" s="2" t="s">
        <v>57</v>
      </c>
      <c r="E20" s="2"/>
      <c r="F20" s="2"/>
    </row>
    <row r="21">
      <c r="A21" s="2" t="s">
        <v>59</v>
      </c>
      <c r="B21" s="2"/>
      <c r="C21" s="28">
        <v>18900.0</v>
      </c>
      <c r="D21" s="2" t="s">
        <v>60</v>
      </c>
      <c r="E21" s="2"/>
      <c r="F21" s="2"/>
    </row>
    <row r="22">
      <c r="A22" s="2"/>
      <c r="B22" s="2"/>
      <c r="C22" s="29"/>
      <c r="D22" s="2"/>
      <c r="E22" s="2"/>
      <c r="F22" s="2"/>
    </row>
    <row r="23">
      <c r="A23" s="1" t="s">
        <v>63</v>
      </c>
      <c r="B23" s="2"/>
      <c r="C23" s="29"/>
      <c r="D23" s="2"/>
      <c r="E23" s="2"/>
      <c r="F23" s="2"/>
    </row>
    <row r="24">
      <c r="A24" s="2"/>
      <c r="B24" s="2" t="s">
        <v>64</v>
      </c>
      <c r="C24" s="2" t="s">
        <v>66</v>
      </c>
      <c r="D24" s="30">
        <v>65000.0</v>
      </c>
      <c r="E24" s="2"/>
      <c r="F24" s="2"/>
    </row>
    <row r="25">
      <c r="A25" s="2"/>
      <c r="B25" s="2"/>
      <c r="C25" s="29"/>
      <c r="D25" s="2"/>
      <c r="E25" s="2"/>
      <c r="F25" s="2"/>
    </row>
    <row r="26">
      <c r="A26" s="1" t="s">
        <v>69</v>
      </c>
      <c r="B26" s="2"/>
      <c r="C26" s="2"/>
      <c r="D26" s="2"/>
      <c r="E26" s="2"/>
      <c r="F26" s="2"/>
    </row>
    <row r="27">
      <c r="A27" s="3">
        <v>46361.0</v>
      </c>
      <c r="B27" s="2" t="s">
        <v>70</v>
      </c>
      <c r="C27" s="6">
        <v>700000.0</v>
      </c>
      <c r="D27" s="2" t="s">
        <v>71</v>
      </c>
      <c r="E27" s="2" t="s">
        <v>72</v>
      </c>
      <c r="F27" s="2"/>
    </row>
    <row r="28">
      <c r="A28" s="31">
        <v>46368.0</v>
      </c>
      <c r="B28" s="32" t="s">
        <v>73</v>
      </c>
      <c r="C28" s="33">
        <v>160000.0</v>
      </c>
      <c r="D28" s="32" t="s">
        <v>74</v>
      </c>
      <c r="E28" s="32" t="s">
        <v>75</v>
      </c>
      <c r="F28" s="2"/>
    </row>
    <row r="29">
      <c r="A29" s="3">
        <v>46368.0</v>
      </c>
      <c r="B29" s="2" t="s">
        <v>70</v>
      </c>
      <c r="C29" s="6">
        <v>1000000.0</v>
      </c>
      <c r="D29" s="2" t="s">
        <v>77</v>
      </c>
      <c r="E29" s="2" t="s">
        <v>72</v>
      </c>
      <c r="F29" s="2"/>
    </row>
    <row r="30">
      <c r="A30" s="3">
        <v>46374.0</v>
      </c>
      <c r="B30" s="2" t="s">
        <v>70</v>
      </c>
      <c r="C30" s="6">
        <v>1700000.0</v>
      </c>
      <c r="D30" s="2" t="s">
        <v>79</v>
      </c>
      <c r="E30" s="2" t="s">
        <v>72</v>
      </c>
      <c r="F30" s="2"/>
    </row>
    <row r="31">
      <c r="A31" s="3">
        <v>46378.0</v>
      </c>
      <c r="B31" s="2" t="s">
        <v>70</v>
      </c>
      <c r="C31" s="6">
        <v>1500000.0</v>
      </c>
      <c r="D31" s="2" t="s">
        <v>80</v>
      </c>
      <c r="E31" s="2" t="s">
        <v>72</v>
      </c>
      <c r="F31" s="2"/>
    </row>
    <row r="32">
      <c r="A32" s="2"/>
      <c r="B32" s="2"/>
      <c r="C32" s="29"/>
      <c r="D32" s="2"/>
      <c r="E32" s="2"/>
      <c r="F32" s="2"/>
    </row>
    <row r="33">
      <c r="A33" s="2"/>
      <c r="B33" s="2"/>
      <c r="C33" s="2"/>
      <c r="D33" s="2"/>
      <c r="E33" s="2"/>
      <c r="F33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2026-08-08T04:10:46Z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2026-03-04T00:00:00Z</vt:filetime>
  </property>
  <property fmtid="{D5CDD505-2E9C-101B-9397-08002B2CF9AE}" pid="4" name="LastSaved">
    <vt:filetime>2026-08-08T00:00:00Z</vt:filetime>
  </property>
</Properties>
</file>