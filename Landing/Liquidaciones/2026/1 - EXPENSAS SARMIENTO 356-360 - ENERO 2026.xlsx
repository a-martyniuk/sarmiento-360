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.2026" sheetId="1" r:id="rId4"/>
    <sheet state="visible" name="CUOTA SINDICAL" sheetId="2" r:id="rId5"/>
    <sheet state="visible" name="COMISIONES" sheetId="3" r:id="rId6"/>
    <sheet state="visible" name="25413" sheetId="4" r:id="rId7"/>
    <sheet state="visible" name="LA UNION E HIJOS" sheetId="5" r:id="rId8"/>
    <sheet state="visible" name="DIFERENCIAS ENCONTRADAS" sheetId="6" r:id="rId9"/>
  </sheets>
  <definedNames/>
  <calcPr/>
  <extLst>
    <ext uri="GoogleSheetsCustomDataVersion2">
      <go:sheetsCustomData xmlns:go="http://customooxmlschemas.google.com/" r:id="rId10" roundtripDataChecksum="kclbEne7RySQ7arhGM3iy3PwH79st8Wysi76yvQpA3s="/>
    </ext>
  </extLst>
</workbook>
</file>

<file path=xl/sharedStrings.xml><?xml version="1.0" encoding="utf-8"?>
<sst xmlns="http://schemas.openxmlformats.org/spreadsheetml/2006/main" count="553" uniqueCount="535">
  <si>
    <r>
      <rPr>
        <rFont val="Calibri"/>
        <b/>
        <color theme="1"/>
        <sz val="8.0"/>
      </rPr>
      <t>LIQUIDACION DE GASTOS</t>
    </r>
  </si>
  <si>
    <t>FECHA PAGO</t>
  </si>
  <si>
    <r>
      <rPr>
        <rFont val="Calibri"/>
        <b/>
        <color theme="1"/>
        <sz val="8.0"/>
      </rPr>
      <t>MES DE LIQUIDACIÓN (CIERRE):               ENERO 2026                      MES DE VENCIMIENTO DE LA LIQUIDACION:                                                              FEBRERO 2026</t>
    </r>
  </si>
  <si>
    <t>DIFERENCIAS ENTRE LO LOQUIDADO Y LO REALMENTE ABONADO</t>
  </si>
  <si>
    <t>MONTO</t>
  </si>
  <si>
    <r>
      <rPr>
        <rFont val="Calibri"/>
        <b/>
        <color rgb="FF000000"/>
        <sz val="8.0"/>
      </rPr>
      <t xml:space="preserve">ADMINISTRACIÓN                                                           CONSORCIO
</t>
    </r>
    <r>
      <rPr>
        <rFont val="Calibri"/>
        <color rgb="FF000000"/>
        <sz val="8.0"/>
      </rPr>
      <t xml:space="preserve">D&amp;F Administracion                                                         SARMIENTO 356,358,360
</t>
    </r>
    <r>
      <rPr>
        <rFont val="Calibri"/>
        <color rgb="FF000000"/>
        <sz val="8.0"/>
      </rPr>
      <t xml:space="preserve">CUIT: 27-25108998-7                                                        CUIT: 30-71412062-6
</t>
    </r>
    <r>
      <rPr>
        <rFont val="Calibri"/>
        <color rgb="FF000000"/>
        <sz val="8.0"/>
      </rPr>
      <t xml:space="preserve">Matricula: RPAC N° 1772 / RPA N° 17517                             SARMIENTO 356 -360 - Lomas de Zamora (Bs. As.) Telefonos: 4742-6085 / 1167867049 / 1168939477               CLAVE SUTERH:
</t>
    </r>
    <r>
      <rPr>
        <rFont val="Calibri"/>
        <color rgb="FF000000"/>
        <sz val="8.0"/>
      </rPr>
      <t xml:space="preserve">Bynnon 1686 - Adrogue (1846)
</t>
    </r>
    <r>
      <rPr>
        <rFont val="Calibri"/>
        <color rgb="FF000000"/>
        <sz val="8.0"/>
      </rPr>
      <t>Mail: dyfadmconsorcios@gmail.com</t>
    </r>
  </si>
  <si>
    <t>FECHA</t>
  </si>
  <si>
    <t>DETALLE</t>
  </si>
  <si>
    <t>PAGO REALIZADO</t>
  </si>
  <si>
    <t xml:space="preserve">EN LIQUIDACIÓN </t>
  </si>
  <si>
    <t>DIF</t>
  </si>
  <si>
    <t>OBSERVACION</t>
  </si>
  <si>
    <t>CON FACTURA</t>
  </si>
  <si>
    <t>SUELDO JUAN</t>
  </si>
  <si>
    <t>LIQUIDADO DICIEMBRE</t>
  </si>
  <si>
    <r>
      <rPr>
        <rFont val="Calibri"/>
        <b/>
        <color rgb="FF000000"/>
        <sz val="11.0"/>
      </rPr>
      <t xml:space="preserve">Estado de cuentas y prorrateo
</t>
    </r>
    <r>
      <rPr>
        <rFont val="Calibri"/>
        <b/>
        <color rgb="FF000000"/>
        <sz val="10.0"/>
      </rPr>
      <t>PERIODO ENERO 2025                                                      VENCIMIENTO 15/02/2026                                                         Tasa de interés: 7,80%</t>
    </r>
  </si>
  <si>
    <r>
      <rPr>
        <rFont val="Calibri"/>
        <b/>
        <color theme="1"/>
        <sz val="10.0"/>
      </rPr>
      <t>UF</t>
    </r>
  </si>
  <si>
    <r>
      <rPr>
        <rFont val="Calibri"/>
        <b/>
        <color theme="1"/>
        <sz val="10.0"/>
      </rPr>
      <t>DEPTO</t>
    </r>
  </si>
  <si>
    <t>IMPORTE DEVENGADO NO REAL (LIQUIDACION MES ANTERIOR $ 1,054,813.41)</t>
  </si>
  <si>
    <r>
      <rPr>
        <rFont val="Calibri"/>
        <b/>
        <color theme="1"/>
        <sz val="10.0"/>
      </rPr>
      <t>PROPIETARIOS</t>
    </r>
  </si>
  <si>
    <r>
      <rPr>
        <rFont val="Calibri"/>
        <b/>
        <color theme="1"/>
        <sz val="10.0"/>
      </rPr>
      <t>PORCENTUAL</t>
    </r>
  </si>
  <si>
    <t>SUELDO JAVIER</t>
  </si>
  <si>
    <r>
      <rPr>
        <rFont val="Calibri"/>
        <b/>
        <color theme="1"/>
        <sz val="10.0"/>
      </rPr>
      <t>SALDO ANTERIOR</t>
    </r>
  </si>
  <si>
    <r>
      <rPr>
        <rFont val="Calibri"/>
        <b/>
        <color theme="1"/>
        <sz val="10.0"/>
      </rPr>
      <t>PAGOS</t>
    </r>
  </si>
  <si>
    <r>
      <rPr>
        <rFont val="Calibri"/>
        <b/>
        <color theme="1"/>
        <sz val="10.0"/>
      </rPr>
      <t>SALDO</t>
    </r>
  </si>
  <si>
    <r>
      <rPr>
        <rFont val="Calibri"/>
        <b/>
        <color theme="1"/>
        <sz val="10.0"/>
      </rPr>
      <t>1°A - 356</t>
    </r>
  </si>
  <si>
    <t>IMPORTE DEVENGADO NO REAL (LIQUIDACION MES ANTERIOR $ 662,491.25) SE DEPOSITARON 20000 DE MAS</t>
  </si>
  <si>
    <r>
      <rPr>
        <rFont val="Calibri"/>
        <b/>
        <color theme="1"/>
        <sz val="10.0"/>
      </rPr>
      <t>SEVERINO</t>
    </r>
  </si>
  <si>
    <t>SUELDO RAMIREZ</t>
  </si>
  <si>
    <t>IMPORTE DEVENGADO NO REAL (LIQUIDACION MES ANTERIOR $ 745,574.00) SE DEPOSITARON 58023 DE MENOS</t>
  </si>
  <si>
    <t>AGUINALDO  JUAN</t>
  </si>
  <si>
    <r>
      <rPr>
        <rFont val="Calibri"/>
        <b/>
        <color theme="1"/>
        <sz val="10.0"/>
      </rPr>
      <t>1°C - 356</t>
    </r>
  </si>
  <si>
    <r>
      <rPr>
        <rFont val="Calibri"/>
        <b/>
        <color theme="1"/>
        <sz val="10.0"/>
      </rPr>
      <t>FERNANDEZ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</si>
  <si>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</si>
  <si>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1°B - 356</t>
    </r>
  </si>
  <si>
    <r>
      <rPr>
        <rFont val="Calibri"/>
        <b/>
        <color theme="1"/>
        <sz val="10.0"/>
      </rPr>
      <t>ALVAREZ MARIA INES</t>
    </r>
  </si>
  <si>
    <r>
      <rPr>
        <rFont val="Calibri"/>
        <color theme="1"/>
        <sz val="10.0"/>
      </rPr>
      <t>$         -</t>
    </r>
  </si>
  <si>
    <t>IMPORTE LIQUIDADO EN EL MES ANTERIOR CON PROVISION TOTAL MENOR AL REAL - AUNQUE EL PAGO CORRESPONDE LA RECAUDACION FUE MENOR</t>
  </si>
  <si>
    <r>
      <rPr>
        <rFont val="Calibri"/>
        <b/>
        <color theme="1"/>
        <sz val="10.0"/>
      </rPr>
      <t>1°A - 360</t>
    </r>
  </si>
  <si>
    <t>AGUINALDO JAVIER</t>
  </si>
  <si>
    <r>
      <rPr>
        <rFont val="Calibri"/>
        <b/>
        <color theme="1"/>
        <sz val="10.0"/>
      </rPr>
      <t>PERRI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</si>
  <si>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</si>
  <si>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1°C - 360</t>
    </r>
  </si>
  <si>
    <r>
      <rPr>
        <rFont val="Calibri"/>
        <b/>
        <color theme="1"/>
        <sz val="10.0"/>
      </rPr>
      <t>BONFANTI SANDRA</t>
    </r>
  </si>
  <si>
    <t>AGUINALDO RAMIREZ</t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</si>
  <si>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</si>
  <si>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1°B - 360</t>
    </r>
  </si>
  <si>
    <r>
      <rPr>
        <rFont val="Calibri"/>
        <b/>
        <color theme="1"/>
        <sz val="10.0"/>
      </rPr>
      <t>MAGLIOLO SILVIA</t>
    </r>
  </si>
  <si>
    <t>CARGAS SOCIALES</t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</si>
  <si>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</si>
  <si>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2°A - 356</t>
    </r>
  </si>
  <si>
    <r>
      <rPr>
        <rFont val="Calibri"/>
        <b/>
        <color theme="1"/>
        <sz val="10.0"/>
      </rPr>
      <t>MALDAJAN</t>
    </r>
  </si>
  <si>
    <r>
      <rPr>
        <rFont val="Calibri"/>
        <color theme="1"/>
        <sz val="10.0"/>
      </rPr>
      <t>$         -</t>
    </r>
  </si>
  <si>
    <t>IMPORTE DEVENGADO NO REAL (LIQUIDACION MES ANTERIOR $ 1,546,772.50)</t>
  </si>
  <si>
    <r>
      <rPr>
        <rFont val="Calibri"/>
        <b/>
        <color theme="1"/>
        <sz val="10.0"/>
      </rPr>
      <t>2°C - 356</t>
    </r>
  </si>
  <si>
    <t>FED ARG DE TRAB</t>
  </si>
  <si>
    <r>
      <rPr>
        <rFont val="Calibri"/>
        <b/>
        <color theme="1"/>
        <sz val="10.0"/>
      </rPr>
      <t>CARROSO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</si>
  <si>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</si>
  <si>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2°B - 356</t>
    </r>
  </si>
  <si>
    <t>IMPORTE DEVENGADO NO REAL (LIQUIDACION MES ANTERIOR CON COMPROBANTES EN EL MES ANTERIOR)</t>
  </si>
  <si>
    <r>
      <rPr>
        <rFont val="Calibri"/>
        <b/>
        <color theme="1"/>
        <sz val="10.0"/>
      </rPr>
      <t>BLAUSTEIN</t>
    </r>
  </si>
  <si>
    <t>SIND UN TRAB REN</t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</si>
  <si>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</si>
  <si>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2°A - 360</t>
    </r>
  </si>
  <si>
    <t>FED ARG TRAB REN</t>
  </si>
  <si>
    <r>
      <rPr>
        <rFont val="Calibri"/>
        <b/>
        <color theme="1"/>
        <sz val="10.0"/>
      </rPr>
      <t>LOPARDO</t>
    </r>
  </si>
  <si>
    <r>
      <rPr>
        <rFont val="Calibri"/>
        <color theme="1"/>
        <sz val="10.0"/>
      </rPr>
      <t>$         -</t>
    </r>
  </si>
  <si>
    <t>LA UNION E HIJOS SRL</t>
  </si>
  <si>
    <t>COMPRA DE PINTURA CUOATA 01/02</t>
  </si>
  <si>
    <r>
      <rPr>
        <rFont val="Calibri"/>
        <b/>
        <color theme="1"/>
        <sz val="10.0"/>
      </rPr>
      <t>2°C - 360</t>
    </r>
  </si>
  <si>
    <r>
      <rPr>
        <rFont val="Calibri"/>
        <b/>
        <color theme="1"/>
        <sz val="10.0"/>
      </rPr>
      <t>MENA</t>
    </r>
  </si>
  <si>
    <r>
      <rPr>
        <rFont val="Calibri"/>
        <color theme="1"/>
        <sz val="10.0"/>
      </rPr>
      <t>$         -</t>
    </r>
  </si>
  <si>
    <t>SE LIQUIDO UN GASTO EXTRAORDINARIO MUY SUPERIOR A LO FINALMENTE FACTURADO Y ESTA RECAUDACIÓN NO FUE INCLUIDA EN EL RESUMEN DE FDR QUE IBAN DESTINADOS A PINTURA, MIENTRAS QUE LOS GASTOS SI ESTAN DETALLADOS.</t>
  </si>
  <si>
    <r>
      <rPr>
        <rFont val="Calibri"/>
        <b/>
        <color theme="1"/>
        <sz val="10.0"/>
      </rPr>
      <t>2°B - 360</t>
    </r>
  </si>
  <si>
    <t>CLEANNIG SERVICE - MATERIALES DE LIMPIEZA</t>
  </si>
  <si>
    <r>
      <rPr>
        <rFont val="Calibri"/>
        <b/>
        <color theme="1"/>
        <sz val="10.0"/>
      </rPr>
      <t>PUMA ROSA</t>
    </r>
  </si>
  <si>
    <r>
      <rPr>
        <rFont val="Calibri"/>
        <color theme="1"/>
        <sz val="10.0"/>
      </rPr>
      <t>$         -</t>
    </r>
  </si>
  <si>
    <t>SEGUN ESTO SE ABONO POR MENOS, AUNQUE EL COMPROBANTE NO ES VÁLIDO COMO FACTURA. TENEMOS LA FACTURA?</t>
  </si>
  <si>
    <r>
      <rPr>
        <rFont val="Calibri"/>
        <b/>
        <color theme="1"/>
        <sz val="10.0"/>
      </rPr>
      <t>3°A - 356</t>
    </r>
  </si>
  <si>
    <t>SEGURIDAD NOVIEMBRE 2025 FACTURA N° 00002-0044</t>
  </si>
  <si>
    <r>
      <rPr>
        <rFont val="Calibri"/>
        <b/>
        <color theme="1"/>
        <sz val="10.0"/>
      </rPr>
      <t>GRIMM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</si>
  <si>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</si>
  <si>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3°C - 356</t>
    </r>
  </si>
  <si>
    <r>
      <rPr>
        <rFont val="Calibri"/>
        <b/>
        <color theme="1"/>
        <sz val="10.0"/>
      </rPr>
      <t>GRIMM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</si>
  <si>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</si>
  <si>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3°B - 356</t>
    </r>
  </si>
  <si>
    <t>LIQUIDADO SIN PAGO REGISTRADO EN CUENTA</t>
  </si>
  <si>
    <r>
      <rPr>
        <rFont val="Calibri"/>
        <b/>
        <color theme="1"/>
        <sz val="10.0"/>
      </rPr>
      <t>FERNANDEZ</t>
    </r>
  </si>
  <si>
    <r>
      <rPr>
        <rFont val="Calibri"/>
        <color theme="1"/>
        <sz val="10.0"/>
      </rPr>
      <t>$         -</t>
    </r>
  </si>
  <si>
    <r>
      <rPr>
        <rFont val="Calibri"/>
        <color theme="1"/>
        <sz val="8.0"/>
      </rPr>
      <t>YPF CICLOS</t>
    </r>
  </si>
  <si>
    <r>
      <rPr>
        <rFont val="Calibri"/>
        <color theme="1"/>
        <sz val="8.0"/>
      </rPr>
      <t>COMPRA DE COMBUSTIBLE FACT Nro 00011-53269</t>
    </r>
  </si>
  <si>
    <r>
      <rPr>
        <rFont val="Calibri"/>
        <b/>
        <color theme="1"/>
        <sz val="10.0"/>
      </rPr>
      <t>3°A - 360</t>
    </r>
  </si>
  <si>
    <t>COMPROBANTE CON FECHA 14/10 21:25</t>
  </si>
  <si>
    <r>
      <rPr>
        <rFont val="Calibri"/>
        <b/>
        <color theme="1"/>
        <sz val="10.0"/>
      </rPr>
      <t>IANELLO</t>
    </r>
  </si>
  <si>
    <r>
      <rPr>
        <rFont val="Calibri"/>
        <color theme="1"/>
        <sz val="8.0"/>
      </rPr>
      <t>YPF CICLOS</t>
    </r>
  </si>
  <si>
    <r>
      <rPr>
        <rFont val="Calibri"/>
        <color theme="1"/>
        <sz val="8.0"/>
      </rPr>
      <t>COMPRA DE COMBUTIBLR FACT.Nro 0001-53270</t>
    </r>
  </si>
  <si>
    <r>
      <rPr>
        <rFont val="Calibri"/>
        <color theme="1"/>
        <sz val="10.0"/>
      </rPr>
      <t>$         -</t>
    </r>
  </si>
  <si>
    <t>COMPROBANTE CON FECHA 14/10 21:27</t>
  </si>
  <si>
    <t>ASCENSORES GUILLEMI</t>
  </si>
  <si>
    <t>Mantenimiento ascensores DICIEMBRE</t>
  </si>
  <si>
    <r>
      <rPr>
        <rFont val="Calibri"/>
        <b/>
        <color theme="1"/>
        <sz val="10.0"/>
      </rPr>
      <t>3°C - 360</t>
    </r>
  </si>
  <si>
    <r>
      <rPr>
        <rFont val="Calibri"/>
        <b/>
        <color theme="1"/>
        <sz val="10.0"/>
      </rPr>
      <t>MUSACCHIO</t>
    </r>
  </si>
  <si>
    <t>FACTURA DE 120000 FECHA 5/1</t>
  </si>
  <si>
    <t>FOTOCOPIAS DE EXPENSAS NOVIEMBRE</t>
  </si>
  <si>
    <r>
      <rPr>
        <rFont val="Calibri"/>
        <color theme="1"/>
        <sz val="10.0"/>
      </rPr>
      <t>$         -</t>
    </r>
  </si>
  <si>
    <t>SIN COMPROBANTE</t>
  </si>
  <si>
    <r>
      <rPr>
        <rFont val="Calibri"/>
        <b/>
        <color theme="1"/>
        <sz val="10.0"/>
      </rPr>
      <t>3°B - 360</t>
    </r>
  </si>
  <si>
    <r>
      <rPr>
        <rFont val="Calibri"/>
        <b/>
        <color theme="1"/>
        <sz val="10.0"/>
      </rPr>
      <t>ROMBOUTS DIETER</t>
    </r>
  </si>
  <si>
    <t>PAGO REGISTRADOS QUE NO FIGURAN EN ESTRACTO Y SI CONSIDERA LA ADMINISTRACIÓN</t>
  </si>
  <si>
    <t>CALOGNE RICARDO</t>
  </si>
  <si>
    <r>
      <rPr>
        <rFont val="Calibri"/>
        <color theme="1"/>
        <sz val="10.0"/>
      </rPr>
      <t>$         -</t>
    </r>
  </si>
  <si>
    <t>9°A - 356</t>
  </si>
  <si>
    <r>
      <rPr>
        <rFont val="Calibri"/>
        <b/>
        <color theme="1"/>
        <sz val="10.0"/>
      </rPr>
      <t>4°A - 356</t>
    </r>
  </si>
  <si>
    <r>
      <rPr>
        <rFont val="Calibri"/>
        <b/>
        <color theme="1"/>
        <sz val="10.0"/>
      </rPr>
      <t>RIONEGRO CARLOS ALBERTO</t>
    </r>
  </si>
  <si>
    <t>GASTOS NO LIQUIDADOS QUE FUERON DEBITADOS DE CUENTA</t>
  </si>
  <si>
    <r>
      <rPr>
        <rFont val="Calibri"/>
        <color theme="1"/>
        <sz val="10.0"/>
      </rPr>
      <t>$         -</t>
    </r>
  </si>
  <si>
    <t>RAFAEL MOREL ROMAN</t>
  </si>
  <si>
    <t>CON RECIBI FECHA 5/12</t>
  </si>
  <si>
    <t>PUESTO EN ESE RESUMEN DE FDR MAL COMPUTADO</t>
  </si>
  <si>
    <r>
      <rPr>
        <rFont val="Calibri"/>
        <b/>
        <color theme="1"/>
        <sz val="10.0"/>
      </rPr>
      <t>4°C - 356</t>
    </r>
  </si>
  <si>
    <r>
      <rPr>
        <rFont val="Calibri"/>
        <b/>
        <color theme="1"/>
        <sz val="10.0"/>
      </rPr>
      <t>GIANOLA</t>
    </r>
  </si>
  <si>
    <t>LUIS DE LA PAS PAVON</t>
  </si>
  <si>
    <t>SIN NINGUN COMPROBANTE EN ESTE MES</t>
  </si>
  <si>
    <t>ENTIENDO QUE PAGARON LA DIFERENCIA LIQUIDADA EL MES PASADO EN ESTE MES SALDANDO EL ERROR MARCADO EL MES ANTERIOR</t>
  </si>
  <si>
    <r>
      <rPr>
        <rFont val="Calibri"/>
        <color theme="1"/>
        <sz val="10.0"/>
      </rPr>
      <t>$         -</t>
    </r>
  </si>
  <si>
    <t>CON RECIBI FECHA 12/12</t>
  </si>
  <si>
    <r>
      <rPr>
        <rFont val="Calibri"/>
        <b/>
        <color theme="1"/>
        <sz val="10.0"/>
      </rPr>
      <t>4°B - 356</t>
    </r>
  </si>
  <si>
    <r>
      <rPr>
        <rFont val="Calibri"/>
        <b/>
        <color theme="1"/>
        <sz val="10.0"/>
      </rPr>
      <t>FRANCO</t>
    </r>
  </si>
  <si>
    <t>CON RECIBI FECHA 18/12</t>
  </si>
  <si>
    <r>
      <rPr>
        <rFont val="Calibri"/>
        <color theme="1"/>
        <sz val="10.0"/>
      </rPr>
      <t>$         -</t>
    </r>
  </si>
  <si>
    <t>CON RECIBI FECHA 29/12</t>
  </si>
  <si>
    <r>
      <rPr>
        <rFont val="Calibri"/>
        <b/>
        <color theme="1"/>
        <sz val="10.0"/>
      </rPr>
      <t>4°A - 360</t>
    </r>
  </si>
  <si>
    <r>
      <rPr>
        <rFont val="Calibri"/>
        <b/>
        <color theme="1"/>
        <sz val="10.0"/>
      </rPr>
      <t>DOMINGUEZ OSVALDO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</si>
  <si>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</si>
  <si>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4°C - 360</t>
    </r>
  </si>
  <si>
    <r>
      <rPr>
        <rFont val="Calibri"/>
        <b/>
        <color theme="1"/>
        <sz val="10.0"/>
      </rPr>
      <t>CALANDRA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</si>
  <si>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</si>
  <si>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4°B - 360</t>
    </r>
  </si>
  <si>
    <r>
      <rPr>
        <rFont val="Calibri"/>
        <b/>
        <color theme="1"/>
        <sz val="10.0"/>
      </rPr>
      <t>TAKEDA LAURA NANCY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</si>
  <si>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</si>
  <si>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5°A - 356</t>
    </r>
  </si>
  <si>
    <r>
      <rPr>
        <rFont val="Calibri"/>
        <b/>
        <color theme="1"/>
        <sz val="10.0"/>
      </rPr>
      <t>SUAREZ PATRICIO</t>
    </r>
  </si>
  <si>
    <r>
      <rPr>
        <rFont val="Calibri"/>
        <b/>
        <color theme="1"/>
        <sz val="10.0"/>
      </rPr>
      <t>5°C - 356</t>
    </r>
  </si>
  <si>
    <r>
      <rPr>
        <rFont val="Calibri"/>
        <b/>
        <color theme="1"/>
        <sz val="10.0"/>
      </rPr>
      <t>LANATI</t>
    </r>
  </si>
  <si>
    <r>
      <rPr>
        <rFont val="Calibri"/>
        <b/>
        <color theme="1"/>
        <sz val="10.0"/>
      </rPr>
      <t>5°B - 356</t>
    </r>
  </si>
  <si>
    <r>
      <rPr>
        <rFont val="Calibri"/>
        <b/>
        <color theme="1"/>
        <sz val="10.0"/>
      </rPr>
      <t>NIBALI AGUSTINA DENISE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</si>
  <si>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</si>
  <si>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5°A - 360</t>
    </r>
  </si>
  <si>
    <r>
      <rPr>
        <rFont val="Calibri"/>
        <b/>
        <color theme="1"/>
        <sz val="10.0"/>
      </rPr>
      <t>FLOLASCO SILVINA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</si>
  <si>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</si>
  <si>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5°C - 360</t>
    </r>
  </si>
  <si>
    <r>
      <rPr>
        <rFont val="Calibri"/>
        <b/>
        <color theme="1"/>
        <sz val="10.0"/>
      </rPr>
      <t>PUMAR RICARDO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</si>
  <si>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</si>
  <si>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5°B - 360</t>
    </r>
  </si>
  <si>
    <r>
      <rPr>
        <rFont val="Calibri"/>
        <b/>
        <color theme="1"/>
        <sz val="10.0"/>
      </rPr>
      <t>JAIMES MARISA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</si>
  <si>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</si>
  <si>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6°A - 356</t>
    </r>
  </si>
  <si>
    <r>
      <rPr>
        <rFont val="Calibri"/>
        <b/>
        <color theme="1"/>
        <sz val="10.0"/>
      </rPr>
      <t>FIORENZA ROSARIO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</si>
  <si>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</si>
  <si>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6°C - 356</t>
    </r>
  </si>
  <si>
    <r>
      <rPr>
        <rFont val="Calibri"/>
        <b/>
        <color theme="1"/>
        <sz val="10.0"/>
      </rPr>
      <t>JUIZ K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</si>
  <si>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</si>
  <si>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6°B - 356</t>
    </r>
  </si>
  <si>
    <r>
      <rPr>
        <rFont val="Calibri"/>
        <b/>
        <color theme="1"/>
        <sz val="10.0"/>
      </rPr>
      <t>DELGADO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</si>
  <si>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</si>
  <si>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6°A - 360</t>
    </r>
  </si>
  <si>
    <r>
      <rPr>
        <rFont val="Calibri"/>
        <b/>
        <color theme="1"/>
        <sz val="10.0"/>
      </rPr>
      <t>IGLESIAS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</si>
  <si>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</si>
  <si>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6°C - 360</t>
    </r>
  </si>
  <si>
    <r>
      <rPr>
        <rFont val="Calibri"/>
        <b/>
        <color theme="1"/>
        <sz val="10.0"/>
      </rPr>
      <t>FAPSA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</si>
  <si>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</si>
  <si>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9.0"/>
      </rPr>
      <t>6°B - 360</t>
    </r>
  </si>
  <si>
    <r>
      <rPr>
        <rFont val="Calibri"/>
        <b/>
        <color theme="1"/>
        <sz val="9.0"/>
      </rPr>
      <t>GIANCASPRO</t>
    </r>
  </si>
  <si>
    <r>
      <rPr>
        <rFont val="Calibri"/>
        <color theme="1"/>
        <sz val="9.0"/>
      </rPr>
      <t>$          -</t>
    </r>
  </si>
  <si>
    <r>
      <rPr>
        <rFont val="Calibri"/>
        <b/>
        <color theme="1"/>
        <sz val="9.0"/>
      </rPr>
      <t>7°A - 356</t>
    </r>
  </si>
  <si>
    <r>
      <rPr>
        <rFont val="Calibri"/>
        <b/>
        <color theme="1"/>
        <sz val="9.0"/>
      </rPr>
      <t>FIORENZA ROSARIO</t>
    </r>
  </si>
  <si>
    <r>
      <rPr>
        <rFont val="Calibri"/>
        <color theme="1"/>
        <sz val="9.0"/>
      </rPr>
      <t>$          -</t>
    </r>
  </si>
  <si>
    <r>
      <rPr>
        <rFont val="Calibri"/>
        <b/>
        <color theme="1"/>
        <sz val="9.0"/>
      </rPr>
      <t>7°C - 356</t>
    </r>
  </si>
  <si>
    <r>
      <rPr>
        <rFont val="Calibri"/>
        <b/>
        <color theme="1"/>
        <sz val="9.0"/>
      </rPr>
      <t>ANTON RICARDO ENRIQUE</t>
    </r>
  </si>
  <si>
    <r>
      <rPr>
        <rFont val="Calibri"/>
        <color theme="1"/>
        <sz val="9.0"/>
      </rPr>
      <t>$          -</t>
    </r>
  </si>
  <si>
    <r>
      <rPr>
        <rFont val="Calibri"/>
        <b/>
        <color theme="1"/>
        <sz val="9.0"/>
      </rPr>
      <t>7°B - 356</t>
    </r>
  </si>
  <si>
    <r>
      <rPr>
        <rFont val="Calibri"/>
        <b/>
        <color theme="1"/>
        <sz val="9.0"/>
      </rPr>
      <t>FRANQUEIRA</t>
    </r>
  </si>
  <si>
    <r>
      <rPr>
        <rFont val="Calibri"/>
        <color theme="1"/>
        <sz val="9.0"/>
      </rPr>
      <t>$          -</t>
    </r>
  </si>
  <si>
    <r>
      <rPr>
        <rFont val="Calibri"/>
        <b/>
        <color theme="1"/>
        <sz val="9.0"/>
      </rPr>
      <t>7°A - 360</t>
    </r>
  </si>
  <si>
    <r>
      <rPr>
        <rFont val="Calibri"/>
        <b/>
        <color theme="1"/>
        <sz val="9.0"/>
      </rPr>
      <t>BAL MARICEL</t>
    </r>
  </si>
  <si>
    <r>
      <rPr>
        <rFont val="Calibri"/>
        <color theme="1"/>
        <sz val="9.0"/>
      </rPr>
      <t>$          -</t>
    </r>
  </si>
  <si>
    <r>
      <rPr>
        <rFont val="Calibri"/>
        <b/>
        <color theme="1"/>
        <sz val="9.0"/>
      </rPr>
      <t>7°C - 360</t>
    </r>
  </si>
  <si>
    <r>
      <rPr>
        <rFont val="Calibri"/>
        <b/>
        <color theme="1"/>
        <sz val="9.0"/>
      </rPr>
      <t>CASTRO</t>
    </r>
  </si>
  <si>
    <r>
      <rPr>
        <rFont val="Calibri"/>
        <b/>
        <color theme="1"/>
        <sz val="9.0"/>
      </rPr>
      <t>7°B - 360</t>
    </r>
  </si>
  <si>
    <r>
      <rPr>
        <rFont val="Calibri"/>
        <b/>
        <color theme="1"/>
        <sz val="9.0"/>
      </rPr>
      <t>DEL RIO ANDREA</t>
    </r>
  </si>
  <si>
    <r>
      <rPr>
        <rFont val="Calibri"/>
        <color theme="1"/>
        <sz val="9.0"/>
      </rPr>
      <t>$          -</t>
    </r>
  </si>
  <si>
    <r>
      <rPr>
        <rFont val="Calibri"/>
        <b/>
        <color theme="1"/>
        <sz val="9.0"/>
      </rPr>
      <t>8°A - 356</t>
    </r>
  </si>
  <si>
    <r>
      <rPr>
        <rFont val="Calibri"/>
        <b/>
        <color theme="1"/>
        <sz val="9.0"/>
      </rPr>
      <t>SIMON PABLO</t>
    </r>
  </si>
  <si>
    <r>
      <rPr>
        <rFont val="Calibri"/>
        <b/>
        <color theme="1"/>
        <sz val="9.0"/>
      </rPr>
      <t>8°C - 356</t>
    </r>
  </si>
  <si>
    <r>
      <rPr>
        <rFont val="Calibri"/>
        <b/>
        <color theme="1"/>
        <sz val="9.0"/>
      </rPr>
      <t>RAAD J. F.</t>
    </r>
  </si>
  <si>
    <r>
      <rPr>
        <rFont val="Calibri"/>
        <color theme="1"/>
        <sz val="9.0"/>
      </rPr>
      <t>$          -</t>
    </r>
  </si>
  <si>
    <r>
      <rPr>
        <rFont val="Calibri"/>
        <b/>
        <color theme="1"/>
        <sz val="9.0"/>
      </rPr>
      <t>8°B - 356</t>
    </r>
  </si>
  <si>
    <r>
      <rPr>
        <rFont val="Calibri"/>
        <b/>
        <color theme="1"/>
        <sz val="9.0"/>
      </rPr>
      <t>PONZIO FACUNDO TOMAS</t>
    </r>
  </si>
  <si>
    <r>
      <rPr>
        <rFont val="Calibri"/>
        <color theme="1"/>
        <sz val="9.0"/>
      </rPr>
      <t>$          -</t>
    </r>
  </si>
  <si>
    <r>
      <rPr>
        <rFont val="Calibri"/>
        <b/>
        <color theme="1"/>
        <sz val="9.0"/>
      </rPr>
      <t>8°A - 360</t>
    </r>
  </si>
  <si>
    <r>
      <rPr>
        <rFont val="Calibri"/>
        <b/>
        <color theme="1"/>
        <sz val="9.0"/>
      </rPr>
      <t>DURRUTY - VAZQUEZ</t>
    </r>
  </si>
  <si>
    <r>
      <rPr>
        <rFont val="Calibri"/>
        <color theme="1"/>
        <sz val="9.0"/>
      </rPr>
      <t>$          -</t>
    </r>
  </si>
  <si>
    <r>
      <rPr>
        <rFont val="Calibri"/>
        <b/>
        <color theme="1"/>
        <sz val="9.0"/>
      </rPr>
      <t>8°C - 360</t>
    </r>
  </si>
  <si>
    <r>
      <rPr>
        <rFont val="Calibri"/>
        <b/>
        <color theme="1"/>
        <sz val="9.0"/>
      </rPr>
      <t>CICCONE-ROSSI</t>
    </r>
  </si>
  <si>
    <r>
      <rPr>
        <rFont val="Calibri"/>
        <color theme="1"/>
        <sz val="9.0"/>
      </rPr>
      <t>$          -</t>
    </r>
  </si>
  <si>
    <r>
      <rPr>
        <rFont val="Calibri"/>
        <b/>
        <color theme="1"/>
        <sz val="9.0"/>
      </rPr>
      <t>8°B - 360</t>
    </r>
  </si>
  <si>
    <r>
      <rPr>
        <rFont val="Calibri"/>
        <b/>
        <color theme="1"/>
        <sz val="9.0"/>
      </rPr>
      <t>MALLAMACE MARTA</t>
    </r>
  </si>
  <si>
    <r>
      <rPr>
        <rFont val="Calibri"/>
        <color theme="1"/>
        <sz val="9.0"/>
      </rPr>
      <t>$          -</t>
    </r>
  </si>
  <si>
    <r>
      <rPr>
        <rFont val="Calibri"/>
        <b/>
        <color theme="1"/>
        <sz val="9.0"/>
      </rPr>
      <t>9°A - 356</t>
    </r>
  </si>
  <si>
    <r>
      <rPr>
        <rFont val="Calibri"/>
        <b/>
        <color theme="1"/>
        <sz val="9.0"/>
      </rPr>
      <t>CALONGE RICARDO</t>
    </r>
  </si>
  <si>
    <r>
      <rPr>
        <rFont val="Calibri"/>
        <b/>
        <color theme="1"/>
        <sz val="9.0"/>
      </rPr>
      <t>9°B - 356</t>
    </r>
  </si>
  <si>
    <r>
      <rPr>
        <rFont val="Calibri"/>
        <b/>
        <color theme="1"/>
        <sz val="9.0"/>
      </rPr>
      <t>TOSAR</t>
    </r>
  </si>
  <si>
    <r>
      <rPr>
        <rFont val="Calibri"/>
        <color theme="1"/>
        <sz val="9.0"/>
      </rPr>
      <t>$          -</t>
    </r>
  </si>
  <si>
    <r>
      <rPr>
        <rFont val="Calibri"/>
        <b/>
        <color theme="1"/>
        <sz val="9.0"/>
      </rPr>
      <t>9°A - 360</t>
    </r>
  </si>
  <si>
    <r>
      <rPr>
        <rFont val="Calibri"/>
        <b/>
        <color theme="1"/>
        <sz val="9.0"/>
      </rPr>
      <t>FAPSA</t>
    </r>
  </si>
  <si>
    <r>
      <rPr>
        <rFont val="Calibri"/>
        <b/>
        <color theme="1"/>
        <sz val="9.0"/>
      </rPr>
      <t>9°B - 360</t>
    </r>
  </si>
  <si>
    <r>
      <rPr>
        <rFont val="Calibri"/>
        <b/>
        <color theme="1"/>
        <sz val="9.0"/>
      </rPr>
      <t>FAPSA</t>
    </r>
  </si>
  <si>
    <r>
      <rPr>
        <rFont val="Calibri"/>
        <color theme="1"/>
        <sz val="9.0"/>
      </rPr>
      <t>$          -</t>
    </r>
  </si>
  <si>
    <r>
      <rPr>
        <rFont val="Calibri"/>
        <b/>
        <color theme="1"/>
        <sz val="9.0"/>
      </rPr>
      <t>10°A - 356</t>
    </r>
  </si>
  <si>
    <r>
      <rPr>
        <rFont val="Calibri"/>
        <b/>
        <color theme="1"/>
        <sz val="9.0"/>
      </rPr>
      <t>RICCI - ROLDAN</t>
    </r>
  </si>
  <si>
    <r>
      <rPr>
        <rFont val="Calibri"/>
        <color theme="1"/>
        <sz val="9.0"/>
      </rPr>
      <t>$          -</t>
    </r>
  </si>
  <si>
    <r>
      <rPr>
        <rFont val="Calibri"/>
        <b/>
        <color theme="1"/>
        <sz val="9.0"/>
      </rPr>
      <t>10°B - 356</t>
    </r>
  </si>
  <si>
    <r>
      <rPr>
        <rFont val="Calibri"/>
        <b/>
        <color theme="1"/>
        <sz val="9.0"/>
      </rPr>
      <t>PRIMAVERA</t>
    </r>
  </si>
  <si>
    <r>
      <rPr>
        <rFont val="Calibri"/>
        <color theme="1"/>
        <sz val="9.0"/>
      </rPr>
      <t>$          -</t>
    </r>
  </si>
  <si>
    <r>
      <rPr>
        <rFont val="Calibri"/>
        <b/>
        <color theme="1"/>
        <sz val="9.0"/>
      </rPr>
      <t>10°A - 360</t>
    </r>
  </si>
  <si>
    <r>
      <rPr>
        <rFont val="Calibri"/>
        <b/>
        <color theme="1"/>
        <sz val="9.0"/>
      </rPr>
      <t>MARTYNIUK</t>
    </r>
  </si>
  <si>
    <r>
      <rPr>
        <rFont val="Calibri"/>
        <color theme="1"/>
        <sz val="9.0"/>
      </rPr>
      <t>$          -</t>
    </r>
  </si>
  <si>
    <r>
      <rPr>
        <rFont val="Calibri"/>
        <b/>
        <color theme="1"/>
        <sz val="9.0"/>
      </rPr>
      <t>10°B - 360</t>
    </r>
  </si>
  <si>
    <r>
      <rPr>
        <rFont val="Calibri"/>
        <b/>
        <color theme="1"/>
        <sz val="9.0"/>
      </rPr>
      <t>GINES DEBORA</t>
    </r>
  </si>
  <si>
    <r>
      <rPr>
        <rFont val="Calibri"/>
        <color theme="1"/>
        <sz val="9.0"/>
      </rPr>
      <t>$          -</t>
    </r>
  </si>
  <si>
    <r>
      <rPr>
        <rFont val="Calibri"/>
        <b/>
        <color theme="1"/>
        <sz val="9.0"/>
      </rPr>
      <t>11°A - 356</t>
    </r>
  </si>
  <si>
    <r>
      <rPr>
        <rFont val="Calibri"/>
        <b/>
        <color theme="1"/>
        <sz val="9.0"/>
      </rPr>
      <t>ASSETTA ANA MARIA</t>
    </r>
  </si>
  <si>
    <r>
      <rPr>
        <rFont val="Calibri"/>
        <color theme="1"/>
        <sz val="9.0"/>
      </rPr>
      <t>$          -</t>
    </r>
  </si>
  <si>
    <r>
      <rPr>
        <rFont val="Calibri"/>
        <b/>
        <color theme="1"/>
        <sz val="9.0"/>
      </rPr>
      <t>11°B - 356</t>
    </r>
  </si>
  <si>
    <r>
      <rPr>
        <rFont val="Calibri"/>
        <b/>
        <color theme="1"/>
        <sz val="9.0"/>
      </rPr>
      <t>PRIMAVERA</t>
    </r>
  </si>
  <si>
    <r>
      <rPr>
        <rFont val="Calibri"/>
        <color theme="1"/>
        <sz val="9.0"/>
      </rPr>
      <t>$          -</t>
    </r>
  </si>
  <si>
    <r>
      <rPr>
        <rFont val="Calibri"/>
        <b/>
        <color theme="1"/>
        <sz val="9.0"/>
      </rPr>
      <t>11°A - 360</t>
    </r>
  </si>
  <si>
    <r>
      <rPr>
        <rFont val="Calibri"/>
        <b/>
        <color theme="1"/>
        <sz val="9.0"/>
      </rPr>
      <t>MARTYNIUK</t>
    </r>
  </si>
  <si>
    <r>
      <rPr>
        <rFont val="Calibri"/>
        <color theme="1"/>
        <sz val="9.0"/>
      </rPr>
      <t>$          -</t>
    </r>
  </si>
  <si>
    <r>
      <rPr>
        <rFont val="Calibri"/>
        <b/>
        <color theme="1"/>
        <sz val="9.0"/>
      </rPr>
      <t>11°B - 360</t>
    </r>
  </si>
  <si>
    <r>
      <rPr>
        <rFont val="Calibri"/>
        <b/>
        <color theme="1"/>
        <sz val="9.0"/>
      </rPr>
      <t>VILLAR</t>
    </r>
  </si>
  <si>
    <r>
      <rPr>
        <rFont val="Calibri"/>
        <b/>
        <color theme="1"/>
        <sz val="9.0"/>
      </rPr>
      <t>12°A - 356</t>
    </r>
  </si>
  <si>
    <r>
      <rPr>
        <rFont val="Calibri"/>
        <b/>
        <color theme="1"/>
        <sz val="9.0"/>
      </rPr>
      <t>FERNANDEZ</t>
    </r>
  </si>
  <si>
    <r>
      <rPr>
        <rFont val="Calibri"/>
        <color theme="1"/>
        <sz val="9.0"/>
      </rPr>
      <t>$          -</t>
    </r>
  </si>
  <si>
    <r>
      <rPr>
        <rFont val="Calibri"/>
        <b/>
        <color theme="1"/>
        <sz val="9.0"/>
      </rPr>
      <t>12°B - 356</t>
    </r>
  </si>
  <si>
    <r>
      <rPr>
        <rFont val="Calibri"/>
        <b/>
        <color theme="1"/>
        <sz val="9.0"/>
      </rPr>
      <t>LAGANA OSCAR</t>
    </r>
  </si>
  <si>
    <r>
      <rPr>
        <rFont val="Calibri"/>
        <color theme="1"/>
        <sz val="9.0"/>
      </rPr>
      <t>$          -</t>
    </r>
  </si>
  <si>
    <r>
      <rPr>
        <rFont val="Calibri"/>
        <b/>
        <color theme="1"/>
        <sz val="9.0"/>
      </rPr>
      <t>12°A - 360</t>
    </r>
  </si>
  <si>
    <r>
      <rPr>
        <rFont val="Calibri"/>
        <b/>
        <color theme="1"/>
        <sz val="9.0"/>
      </rPr>
      <t>VILELA</t>
    </r>
  </si>
  <si>
    <r>
      <rPr>
        <rFont val="Calibri"/>
        <color theme="1"/>
        <sz val="9.0"/>
      </rPr>
      <t>$          -</t>
    </r>
  </si>
  <si>
    <r>
      <rPr>
        <rFont val="Calibri"/>
        <b/>
        <color theme="1"/>
        <sz val="9.0"/>
      </rPr>
      <t>12°B - 360</t>
    </r>
  </si>
  <si>
    <r>
      <rPr>
        <rFont val="Calibri"/>
        <b/>
        <color theme="1"/>
        <sz val="9.0"/>
      </rPr>
      <t>MARTINIELLO</t>
    </r>
  </si>
  <si>
    <r>
      <rPr>
        <rFont val="Calibri"/>
        <color theme="1"/>
        <sz val="9.0"/>
      </rPr>
      <t>$          -</t>
    </r>
  </si>
  <si>
    <r>
      <rPr>
        <rFont val="Calibri"/>
        <b/>
        <color theme="1"/>
        <sz val="9.0"/>
      </rPr>
      <t>13°A - 356</t>
    </r>
  </si>
  <si>
    <r>
      <rPr>
        <rFont val="Calibri"/>
        <b/>
        <color theme="1"/>
        <sz val="9.0"/>
      </rPr>
      <t>GAVELINI FEDERICO</t>
    </r>
  </si>
  <si>
    <r>
      <rPr>
        <rFont val="Calibri"/>
        <color theme="1"/>
        <sz val="9.0"/>
      </rPr>
      <t>$          -</t>
    </r>
  </si>
  <si>
    <r>
      <rPr>
        <rFont val="Calibri"/>
        <b/>
        <color theme="1"/>
        <sz val="9.0"/>
      </rPr>
      <t>13°B - 356</t>
    </r>
  </si>
  <si>
    <r>
      <rPr>
        <rFont val="Calibri"/>
        <b/>
        <color theme="1"/>
        <sz val="9.0"/>
      </rPr>
      <t>SEDAME</t>
    </r>
  </si>
  <si>
    <r>
      <rPr>
        <rFont val="Calibri"/>
        <color theme="1"/>
        <sz val="9.0"/>
      </rPr>
      <t>$          -</t>
    </r>
  </si>
  <si>
    <r>
      <rPr>
        <rFont val="Calibri"/>
        <b/>
        <color theme="1"/>
        <sz val="9.0"/>
      </rPr>
      <t>13°A - 360</t>
    </r>
  </si>
  <si>
    <r>
      <rPr>
        <rFont val="Calibri"/>
        <b/>
        <color theme="1"/>
        <sz val="9.0"/>
      </rPr>
      <t>BRUNO SANDRA</t>
    </r>
  </si>
  <si>
    <r>
      <rPr>
        <rFont val="Calibri"/>
        <color theme="1"/>
        <sz val="9.0"/>
      </rPr>
      <t>$          -</t>
    </r>
  </si>
  <si>
    <r>
      <rPr>
        <rFont val="Calibri"/>
        <b/>
        <color theme="1"/>
        <sz val="9.0"/>
      </rPr>
      <t>13°B - 360</t>
    </r>
  </si>
  <si>
    <r>
      <rPr>
        <rFont val="Calibri"/>
        <b/>
        <color theme="1"/>
        <sz val="9.0"/>
      </rPr>
      <t>QUENARDELLE</t>
    </r>
  </si>
  <si>
    <r>
      <rPr>
        <rFont val="Calibri"/>
        <color theme="1"/>
        <sz val="9.0"/>
      </rPr>
      <t>$          -</t>
    </r>
  </si>
  <si>
    <r>
      <rPr>
        <rFont val="Calibri"/>
        <b/>
        <color theme="1"/>
        <sz val="9.0"/>
      </rPr>
      <t>14°A - 356</t>
    </r>
  </si>
  <si>
    <r>
      <rPr>
        <rFont val="Calibri"/>
        <b/>
        <color theme="1"/>
        <sz val="9.0"/>
      </rPr>
      <t>VELAYOS CELINA</t>
    </r>
  </si>
  <si>
    <r>
      <rPr>
        <rFont val="Calibri"/>
        <color theme="1"/>
        <sz val="9.0"/>
      </rPr>
      <t>$          -</t>
    </r>
  </si>
  <si>
    <r>
      <rPr>
        <rFont val="Calibri"/>
        <b/>
        <color theme="1"/>
        <sz val="9.0"/>
      </rPr>
      <t>14°A - 360</t>
    </r>
  </si>
  <si>
    <r>
      <rPr>
        <rFont val="Calibri"/>
        <b/>
        <color theme="1"/>
        <sz val="9.0"/>
      </rPr>
      <t>STEVEN PUTZ</t>
    </r>
  </si>
  <si>
    <r>
      <rPr>
        <rFont val="Calibri"/>
        <color theme="1"/>
        <sz val="9.0"/>
      </rPr>
      <t>$          -</t>
    </r>
  </si>
  <si>
    <r>
      <rPr>
        <rFont val="Calibri"/>
        <b/>
        <color theme="1"/>
        <sz val="9.0"/>
      </rPr>
      <t>TOTALES</t>
    </r>
  </si>
  <si>
    <r>
      <rPr>
        <rFont val="Calibri"/>
        <b/>
        <color theme="1"/>
        <sz val="10.0"/>
      </rPr>
      <t>Estado de propietarios morosos</t>
    </r>
  </si>
  <si>
    <r>
      <rPr>
        <rFont val="Calibri"/>
        <b/>
        <color theme="1"/>
        <sz val="8.0"/>
      </rPr>
      <t>UF</t>
    </r>
  </si>
  <si>
    <r>
      <rPr>
        <rFont val="Calibri"/>
        <b/>
        <color theme="1"/>
        <sz val="8.0"/>
      </rPr>
      <t>DEPTO</t>
    </r>
  </si>
  <si>
    <r>
      <rPr>
        <rFont val="Calibri"/>
        <b/>
        <color theme="1"/>
        <sz val="8.0"/>
      </rPr>
      <t>CONSORCISTA</t>
    </r>
  </si>
  <si>
    <r>
      <rPr>
        <rFont val="Calibri"/>
        <b/>
        <color theme="1"/>
        <sz val="8.0"/>
      </rPr>
      <t>DEUDA</t>
    </r>
  </si>
  <si>
    <r>
      <rPr>
        <rFont val="Calibri"/>
        <b/>
        <color theme="1"/>
        <sz val="8.0"/>
      </rPr>
      <t>2°A - 356</t>
    </r>
  </si>
  <si>
    <r>
      <rPr>
        <rFont val="Calibri"/>
        <b/>
        <color theme="1"/>
        <sz val="8.0"/>
      </rPr>
      <t>MALDAJAN</t>
    </r>
  </si>
  <si>
    <r>
      <rPr>
        <rFont val="Calibri"/>
        <b/>
        <color theme="1"/>
        <sz val="8.0"/>
      </rPr>
      <t>3°C - 356</t>
    </r>
  </si>
  <si>
    <r>
      <rPr>
        <rFont val="Calibri"/>
        <b/>
        <color theme="1"/>
        <sz val="8.0"/>
      </rPr>
      <t>GRIMM</t>
    </r>
  </si>
  <si>
    <r>
      <rPr>
        <rFont val="Calibri"/>
        <b/>
        <color theme="1"/>
        <sz val="8.0"/>
      </rPr>
      <t>3°C - 360</t>
    </r>
  </si>
  <si>
    <r>
      <rPr>
        <rFont val="Calibri"/>
        <b/>
        <color theme="1"/>
        <sz val="8.0"/>
      </rPr>
      <t>MUSACCHIO</t>
    </r>
  </si>
  <si>
    <r>
      <rPr>
        <rFont val="Calibri"/>
        <b/>
        <color theme="1"/>
        <sz val="8.0"/>
      </rPr>
      <t>7°C - 360</t>
    </r>
  </si>
  <si>
    <r>
      <rPr>
        <rFont val="Calibri"/>
        <b/>
        <color theme="1"/>
        <sz val="8.0"/>
      </rPr>
      <t>CASTRO</t>
    </r>
  </si>
  <si>
    <r>
      <rPr>
        <rFont val="Calibri"/>
        <b/>
        <color theme="1"/>
        <sz val="8.0"/>
      </rPr>
      <t>8°C - 360</t>
    </r>
  </si>
  <si>
    <r>
      <rPr>
        <rFont val="Calibri"/>
        <b/>
        <color theme="1"/>
        <sz val="8.0"/>
      </rPr>
      <t>CICCONE-ROSSI</t>
    </r>
  </si>
  <si>
    <r>
      <rPr>
        <rFont val="Calibri"/>
        <b/>
        <color theme="1"/>
        <sz val="8.0"/>
      </rPr>
      <t>11°B - 360</t>
    </r>
  </si>
  <si>
    <r>
      <rPr>
        <rFont val="Calibri"/>
        <b/>
        <color theme="1"/>
        <sz val="8.0"/>
      </rPr>
      <t>VILLAR</t>
    </r>
  </si>
  <si>
    <r>
      <rPr>
        <rFont val="Calibri"/>
        <b/>
        <color theme="1"/>
        <sz val="8.0"/>
      </rPr>
      <t>TOTAL</t>
    </r>
  </si>
  <si>
    <r>
      <rPr>
        <rFont val="Calibri"/>
        <b/>
        <color theme="1"/>
        <sz val="7.0"/>
      </rPr>
      <t>GASTOS ORDINARIOS DEL PERÍODO (SUMINISTROS, SERVICIOS, ABONOS Y SEGUROS)</t>
    </r>
  </si>
  <si>
    <r>
      <rPr>
        <rFont val="Calibri"/>
        <b/>
        <color rgb="FF404040"/>
        <sz val="7.0"/>
      </rPr>
      <t>REMUNERACIONES DEL PERSONAL</t>
    </r>
  </si>
  <si>
    <r>
      <rPr>
        <rFont val="Calibri"/>
        <b/>
        <color rgb="FF404040"/>
        <sz val="7.0"/>
      </rPr>
      <t>GASTOS COMUNES</t>
    </r>
  </si>
  <si>
    <r>
      <rPr>
        <rFont val="Calibri"/>
        <b/>
        <color rgb="FF404040"/>
        <sz val="7.0"/>
      </rPr>
      <t xml:space="preserve">% DEL GASTO
</t>
    </r>
    <r>
      <rPr>
        <rFont val="Calibri"/>
        <b/>
        <color rgb="FF404040"/>
        <sz val="7.0"/>
      </rPr>
      <t>TOTAL</t>
    </r>
  </si>
  <si>
    <r>
      <rPr>
        <rFont val="Calibri"/>
        <color theme="1"/>
        <sz val="7.0"/>
      </rPr>
      <t>BUSTAMANTE JUAN MANUEL - ENCARGADO PERMANTENTE SIN VIVIENDA 4ta CATEGORIA.</t>
    </r>
  </si>
  <si>
    <r>
      <rPr>
        <rFont val="Calibri"/>
        <color theme="1"/>
        <sz val="7.0"/>
      </rPr>
      <t>CUIL: 20-13606437-2  - MES LIQUIDADO: ENERO 2026</t>
    </r>
  </si>
  <si>
    <r>
      <rPr>
        <rFont val="Calibri"/>
        <color theme="1"/>
        <sz val="7.0"/>
      </rPr>
      <t>SUELDO/ JORNAL</t>
    </r>
  </si>
  <si>
    <r>
      <rPr>
        <rFont val="Calibri"/>
        <color theme="1"/>
        <sz val="7.0"/>
      </rPr>
      <t>ANTIGÜEDAD</t>
    </r>
  </si>
  <si>
    <r>
      <rPr>
        <rFont val="Calibri"/>
        <color theme="1"/>
        <sz val="7.0"/>
      </rPr>
      <t>AJUSTE SAC 2do SEMESTRE</t>
    </r>
  </si>
  <si>
    <r>
      <rPr>
        <rFont val="Calibri"/>
        <color theme="1"/>
        <sz val="7.0"/>
      </rPr>
      <t>FERIADO</t>
    </r>
  </si>
  <si>
    <r>
      <rPr>
        <rFont val="Calibri"/>
        <color theme="1"/>
        <sz val="7.0"/>
      </rPr>
      <t>RETIRO DE RESIDUOS</t>
    </r>
  </si>
  <si>
    <r>
      <rPr>
        <rFont val="Calibri"/>
        <color theme="1"/>
        <sz val="7.0"/>
      </rPr>
      <t>PLUS LIMPIEZA COCHERA</t>
    </r>
  </si>
  <si>
    <r>
      <rPr>
        <rFont val="Calibri"/>
        <color theme="1"/>
        <sz val="7.0"/>
      </rPr>
      <t>PLUS JARDIN</t>
    </r>
  </si>
  <si>
    <r>
      <rPr>
        <rFont val="Calibri"/>
        <color theme="1"/>
        <sz val="7.0"/>
      </rPr>
      <t>VIATICOS</t>
    </r>
  </si>
  <si>
    <r>
      <rPr>
        <rFont val="Calibri"/>
        <color theme="1"/>
        <sz val="7.0"/>
      </rPr>
      <t>JUBILACION 11%</t>
    </r>
  </si>
  <si>
    <r>
      <rPr>
        <rFont val="Calibri"/>
        <color theme="1"/>
        <sz val="7.0"/>
      </rPr>
      <t>INSSJP 3%</t>
    </r>
  </si>
  <si>
    <r>
      <rPr>
        <rFont val="Calibri"/>
        <color theme="1"/>
        <sz val="7.0"/>
      </rPr>
      <t>OBRA SOCIAL  3 %</t>
    </r>
  </si>
  <si>
    <r>
      <rPr>
        <rFont val="Calibri"/>
        <color theme="1"/>
        <sz val="7.0"/>
      </rPr>
      <t>FATERYH 1 %</t>
    </r>
  </si>
  <si>
    <r>
      <rPr>
        <rFont val="Calibri"/>
        <color theme="1"/>
        <sz val="7.0"/>
      </rPr>
      <t>FONDO PROTECCION FAMILIAR</t>
    </r>
  </si>
  <si>
    <r>
      <rPr>
        <rFont val="Calibri"/>
        <color theme="1"/>
        <sz val="7.0"/>
      </rPr>
      <t>CUOTA SINDICAL 2 %</t>
    </r>
  </si>
  <si>
    <r>
      <rPr>
        <rFont val="Calibri"/>
        <color theme="1"/>
        <sz val="7.0"/>
      </rPr>
      <t>FATERYH ART 27BIS 0,75%</t>
    </r>
  </si>
  <si>
    <r>
      <rPr>
        <rFont val="Calibri"/>
        <color theme="1"/>
        <sz val="7.0"/>
      </rPr>
      <t>TOTALES</t>
    </r>
  </si>
  <si>
    <r>
      <rPr>
        <rFont val="Calibri"/>
        <color theme="1"/>
        <sz val="7.0"/>
      </rPr>
      <t>BUSTAMANTE VICTOR JAVIER - ENCARGADO NO PERMANTENTE SIN VIVIENDA 4ta CATEGORIA.</t>
    </r>
  </si>
  <si>
    <r>
      <rPr>
        <rFont val="Calibri"/>
        <color theme="1"/>
        <sz val="7.0"/>
      </rPr>
      <t>CUIL: 20-27737820-6  - MES LIQUIDADO: ENERO 2026</t>
    </r>
  </si>
  <si>
    <r>
      <rPr>
        <rFont val="Calibri"/>
        <color theme="1"/>
        <sz val="7.0"/>
      </rPr>
      <t>SUELDO/ JORNAL</t>
    </r>
  </si>
  <si>
    <r>
      <rPr>
        <rFont val="Calibri"/>
        <color theme="1"/>
        <sz val="7.0"/>
      </rPr>
      <t>ANTIGÜEDAD</t>
    </r>
  </si>
  <si>
    <r>
      <rPr>
        <rFont val="Calibri"/>
        <color theme="1"/>
        <sz val="7.0"/>
      </rPr>
      <t>RETIRO DE RESIDUOS</t>
    </r>
  </si>
  <si>
    <r>
      <rPr>
        <rFont val="Calibri"/>
        <color theme="1"/>
        <sz val="7.0"/>
      </rPr>
      <t>PLUS LIMPIEZA COCHERA</t>
    </r>
  </si>
  <si>
    <r>
      <rPr>
        <rFont val="Calibri"/>
        <color theme="1"/>
        <sz val="7.0"/>
      </rPr>
      <t>PLUS JARDIN</t>
    </r>
  </si>
  <si>
    <r>
      <rPr>
        <rFont val="Calibri"/>
        <color theme="1"/>
        <sz val="7.0"/>
      </rPr>
      <t>ADICIONAL ENERO</t>
    </r>
  </si>
  <si>
    <r>
      <rPr>
        <rFont val="Calibri"/>
        <color theme="1"/>
        <sz val="7.0"/>
      </rPr>
      <t>FERIADO</t>
    </r>
  </si>
  <si>
    <r>
      <rPr>
        <rFont val="Calibri"/>
        <color theme="1"/>
        <sz val="7.0"/>
      </rPr>
      <t>VIATICOS (SEPT Y OCT)</t>
    </r>
  </si>
  <si>
    <r>
      <rPr>
        <rFont val="Calibri"/>
        <color theme="1"/>
        <sz val="7.0"/>
      </rPr>
      <t>PLUS VACACIONAL</t>
    </r>
  </si>
  <si>
    <r>
      <rPr>
        <rFont val="Calibri"/>
        <color theme="1"/>
        <sz val="7.0"/>
      </rPr>
      <t>JUBILACION 11%</t>
    </r>
  </si>
  <si>
    <r>
      <rPr>
        <rFont val="Calibri"/>
        <color theme="1"/>
        <sz val="7.0"/>
      </rPr>
      <t>INSSJP 3%</t>
    </r>
  </si>
  <si>
    <r>
      <rPr>
        <rFont val="Calibri"/>
        <color theme="1"/>
        <sz val="7.0"/>
      </rPr>
      <t>OBRA SOCIAL  3 %</t>
    </r>
  </si>
  <si>
    <r>
      <rPr>
        <rFont val="Calibri"/>
        <color theme="1"/>
        <sz val="7.0"/>
      </rPr>
      <t>FATERYH 1 %</t>
    </r>
  </si>
  <si>
    <r>
      <rPr>
        <rFont val="Calibri"/>
        <color theme="1"/>
        <sz val="7.0"/>
      </rPr>
      <t>FONDO PROTECCION FAMILIAR</t>
    </r>
  </si>
  <si>
    <r>
      <rPr>
        <rFont val="Calibri"/>
        <color theme="1"/>
        <sz val="7.0"/>
      </rPr>
      <t>CUOTA SINDICAL 2 %</t>
    </r>
  </si>
  <si>
    <r>
      <rPr>
        <rFont val="Calibri"/>
        <color theme="1"/>
        <sz val="7.0"/>
      </rPr>
      <t>FATERYH ART 27BIS 0,75%</t>
    </r>
  </si>
  <si>
    <r>
      <rPr>
        <rFont val="Calibri"/>
        <color theme="1"/>
        <sz val="7.0"/>
      </rPr>
      <t>TOTALES</t>
    </r>
  </si>
  <si>
    <r>
      <rPr>
        <rFont val="Calibri"/>
        <color theme="1"/>
        <sz val="7.0"/>
      </rPr>
      <t>RAMIREZ GUILLERMO ALBERTO - PERSONAL VIGILANCIA NOCTURNA</t>
    </r>
  </si>
  <si>
    <r>
      <rPr>
        <rFont val="Calibri"/>
        <color theme="1"/>
        <sz val="7.0"/>
      </rPr>
      <t>CUIL: 20-2014502487-1  - MES LIQUIDADO: ENERO 2026</t>
    </r>
  </si>
  <si>
    <r>
      <rPr>
        <rFont val="Calibri"/>
        <color theme="1"/>
        <sz val="7.0"/>
      </rPr>
      <t>SUELDO/ JORNAL</t>
    </r>
  </si>
  <si>
    <r>
      <rPr>
        <rFont val="Calibri"/>
        <color theme="1"/>
        <sz val="7.0"/>
      </rPr>
      <t>ANTIGÜEDAD</t>
    </r>
  </si>
  <si>
    <r>
      <rPr>
        <rFont val="Calibri"/>
        <color theme="1"/>
        <sz val="7.0"/>
      </rPr>
      <t>FERIADO</t>
    </r>
  </si>
  <si>
    <r>
      <rPr>
        <rFont val="Calibri"/>
        <color theme="1"/>
        <sz val="7.0"/>
      </rPr>
      <t>ADICIONAL ENERO 2026</t>
    </r>
  </si>
  <si>
    <r>
      <rPr>
        <rFont val="Calibri"/>
        <color theme="1"/>
        <sz val="7.0"/>
      </rPr>
      <t>VIATICOS</t>
    </r>
  </si>
  <si>
    <r>
      <rPr>
        <rFont val="Calibri"/>
        <color theme="1"/>
        <sz val="7.0"/>
      </rPr>
      <t>JUBILACION 11%</t>
    </r>
  </si>
  <si>
    <r>
      <rPr>
        <rFont val="Calibri"/>
        <color theme="1"/>
        <sz val="7.0"/>
      </rPr>
      <t>INSSJP 3%</t>
    </r>
  </si>
  <si>
    <r>
      <rPr>
        <rFont val="Calibri"/>
        <color theme="1"/>
        <sz val="7.0"/>
      </rPr>
      <t>OBRA SOCIAL  3 %</t>
    </r>
  </si>
  <si>
    <r>
      <rPr>
        <rFont val="Calibri"/>
        <color theme="1"/>
        <sz val="7.0"/>
      </rPr>
      <t>FATERYH 1 %</t>
    </r>
  </si>
  <si>
    <r>
      <rPr>
        <rFont val="Calibri"/>
        <color theme="1"/>
        <sz val="7.0"/>
      </rPr>
      <t>FONDO PROTECCION FAMILIAR</t>
    </r>
  </si>
  <si>
    <r>
      <rPr>
        <rFont val="Calibri"/>
        <color theme="1"/>
        <sz val="7.0"/>
      </rPr>
      <t>CUOTA SINDICAL 2 %</t>
    </r>
  </si>
  <si>
    <r>
      <rPr>
        <rFont val="Calibri"/>
        <color theme="1"/>
        <sz val="7.0"/>
      </rPr>
      <t>FATERYH ART 27BIS 0,75%</t>
    </r>
  </si>
  <si>
    <r>
      <rPr>
        <rFont val="Calibri"/>
        <color theme="1"/>
        <sz val="7.0"/>
      </rPr>
      <t>TOTALES</t>
    </r>
  </si>
  <si>
    <r>
      <rPr>
        <rFont val="Calibri"/>
        <color theme="1"/>
        <sz val="7.0"/>
      </rPr>
      <t>REEMPLAZO DEL SR BUSTAMANTE JAVIER</t>
    </r>
  </si>
  <si>
    <r>
      <rPr>
        <rFont val="Calibri"/>
        <b/>
        <color theme="1"/>
        <sz val="7.0"/>
      </rPr>
      <t>Total rubro:</t>
    </r>
  </si>
  <si>
    <r>
      <rPr>
        <rFont val="Calibri"/>
        <b/>
        <color rgb="FF404040"/>
        <sz val="7.0"/>
      </rPr>
      <t>CARGAS SOCIALES</t>
    </r>
  </si>
  <si>
    <r>
      <rPr>
        <rFont val="Calibri"/>
        <b/>
        <color rgb="FF404040"/>
        <sz val="7.0"/>
      </rPr>
      <t>GASTOS COMUNES</t>
    </r>
  </si>
  <si>
    <r>
      <rPr>
        <rFont val="Calibri"/>
        <color theme="1"/>
        <sz val="7.0"/>
      </rPr>
      <t>CARGAS SOCIALES</t>
    </r>
  </si>
  <si>
    <r>
      <rPr>
        <rFont val="Calibri"/>
        <color theme="1"/>
        <sz val="7.0"/>
      </rPr>
      <t>ENERO 2026</t>
    </r>
  </si>
  <si>
    <r>
      <rPr>
        <rFont val="Calibri"/>
        <b/>
        <color theme="1"/>
        <sz val="7.0"/>
      </rPr>
      <t>Total rubro:</t>
    </r>
  </si>
  <si>
    <r>
      <rPr>
        <rFont val="Calibri"/>
        <b/>
        <color rgb="FF404040"/>
        <sz val="9.0"/>
      </rPr>
      <t>APORTES SINDICALES</t>
    </r>
  </si>
  <si>
    <r>
      <rPr>
        <rFont val="Calibri"/>
        <b/>
        <color rgb="FF404040"/>
        <sz val="9.0"/>
      </rPr>
      <t>GASTOS COMUNES</t>
    </r>
  </si>
  <si>
    <r>
      <rPr>
        <rFont val="Calibri"/>
        <color theme="1"/>
        <sz val="9.0"/>
      </rPr>
      <t>CUOTA SINDICAL</t>
    </r>
  </si>
  <si>
    <r>
      <rPr>
        <rFont val="Calibri"/>
        <color theme="1"/>
        <sz val="9.0"/>
      </rPr>
      <t>ENERO 2026</t>
    </r>
  </si>
  <si>
    <r>
      <rPr>
        <rFont val="Calibri"/>
        <b/>
        <color theme="1"/>
        <sz val="9.0"/>
      </rPr>
      <t>Total rubro:</t>
    </r>
  </si>
  <si>
    <r>
      <rPr>
        <rFont val="Calibri"/>
        <b/>
        <color rgb="FF404040"/>
        <sz val="9.0"/>
      </rPr>
      <t>SERVICIOS PÚBLICOS Y ABONOS</t>
    </r>
  </si>
  <si>
    <r>
      <rPr>
        <rFont val="Calibri"/>
        <b/>
        <color rgb="FF404040"/>
        <sz val="9.0"/>
      </rPr>
      <t>GASTOS COMUNES</t>
    </r>
  </si>
  <si>
    <r>
      <rPr>
        <rFont val="Calibri"/>
        <color theme="1"/>
        <sz val="9.0"/>
      </rPr>
      <t>AYSA Cliente N°192498</t>
    </r>
  </si>
  <si>
    <r>
      <rPr>
        <rFont val="Calibri"/>
        <color theme="1"/>
        <sz val="9.0"/>
      </rPr>
      <t>ENERO 2026</t>
    </r>
  </si>
  <si>
    <r>
      <rPr>
        <rFont val="Calibri"/>
        <color theme="1"/>
        <sz val="9.0"/>
      </rPr>
      <t>AYSA Cliente N°192499</t>
    </r>
  </si>
  <si>
    <r>
      <rPr>
        <rFont val="Calibri"/>
        <color theme="1"/>
        <sz val="9.0"/>
      </rPr>
      <t>ENERO 2026</t>
    </r>
  </si>
  <si>
    <r>
      <rPr>
        <rFont val="Calibri"/>
        <color theme="1"/>
        <sz val="9.0"/>
      </rPr>
      <t>AYSA Cliente N°192500</t>
    </r>
  </si>
  <si>
    <r>
      <rPr>
        <rFont val="Calibri"/>
        <color theme="1"/>
        <sz val="9.0"/>
      </rPr>
      <t>ENERO 2026</t>
    </r>
  </si>
  <si>
    <r>
      <rPr>
        <rFont val="Calibri"/>
        <color theme="1"/>
        <sz val="9.0"/>
      </rPr>
      <t>EDESUR Cliente N°05637256</t>
    </r>
  </si>
  <si>
    <r>
      <rPr>
        <rFont val="Calibri"/>
        <color theme="1"/>
        <sz val="9.0"/>
      </rPr>
      <t>ENERO 2026</t>
    </r>
  </si>
  <si>
    <r>
      <rPr>
        <rFont val="Calibri"/>
        <color theme="1"/>
        <sz val="9.0"/>
      </rPr>
      <t>CABLEVISION FLOW</t>
    </r>
  </si>
  <si>
    <r>
      <rPr>
        <rFont val="Calibri"/>
        <color theme="1"/>
        <sz val="9.0"/>
      </rPr>
      <t>ENERO 2026</t>
    </r>
  </si>
  <si>
    <r>
      <rPr>
        <rFont val="Calibri"/>
        <b/>
        <color theme="1"/>
        <sz val="9.0"/>
      </rPr>
      <t>Total rubro:</t>
    </r>
  </si>
  <si>
    <r>
      <rPr>
        <rFont val="Calibri"/>
        <b/>
        <color rgb="FF404040"/>
        <sz val="9.0"/>
      </rPr>
      <t>MANTENIMIENTO PARTES COMUNES</t>
    </r>
  </si>
  <si>
    <r>
      <rPr>
        <rFont val="Calibri"/>
        <b/>
        <color rgb="FF404040"/>
        <sz val="9.0"/>
      </rPr>
      <t>GASTOS A</t>
    </r>
  </si>
  <si>
    <r>
      <rPr>
        <rFont val="Calibri"/>
        <b/>
        <color rgb="FF404040"/>
        <sz val="9.0"/>
      </rPr>
      <t>GASTO EVENTUAL</t>
    </r>
  </si>
  <si>
    <r>
      <rPr>
        <rFont val="Calibri"/>
        <b/>
        <color rgb="FF404040"/>
        <sz val="9.0"/>
      </rPr>
      <t xml:space="preserve">GASTOS
</t>
    </r>
    <r>
      <rPr>
        <rFont val="Calibri"/>
        <b/>
        <color rgb="FF404040"/>
        <sz val="9.0"/>
      </rPr>
      <t>EXTRAORDINARIOS</t>
    </r>
  </si>
  <si>
    <r>
      <rPr>
        <rFont val="Calibri"/>
        <color theme="1"/>
        <sz val="9.0"/>
      </rPr>
      <t>LA UNION E HIJOS SRL</t>
    </r>
  </si>
  <si>
    <r>
      <rPr>
        <rFont val="Calibri"/>
        <color theme="1"/>
        <sz val="9.0"/>
      </rPr>
      <t>COMPRA DE PINTURA CUOTA 02/02</t>
    </r>
  </si>
  <si>
    <r>
      <rPr>
        <rFont val="Calibri"/>
        <color theme="1"/>
        <sz val="9.0"/>
      </rPr>
      <t>ASCENSORES GUILLEMI</t>
    </r>
  </si>
  <si>
    <r>
      <rPr>
        <rFont val="Calibri"/>
        <color theme="1"/>
        <sz val="9.0"/>
      </rPr>
      <t>MANTENIMIENTO ASCENSORES ENERO 2026</t>
    </r>
  </si>
  <si>
    <r>
      <rPr>
        <rFont val="Calibri"/>
        <color theme="1"/>
        <sz val="9.0"/>
      </rPr>
      <t>YPF CICLOS</t>
    </r>
  </si>
  <si>
    <r>
      <rPr>
        <rFont val="Calibri"/>
        <color theme="1"/>
        <sz val="9.0"/>
      </rPr>
      <t>COMPRA DE COMBUSTIBLE</t>
    </r>
  </si>
  <si>
    <r>
      <rPr>
        <rFont val="Calibri"/>
        <color theme="1"/>
        <sz val="9.0"/>
      </rPr>
      <t>AYRAM</t>
    </r>
  </si>
  <si>
    <r>
      <rPr>
        <rFont val="Calibri"/>
        <color theme="1"/>
        <sz val="9.0"/>
      </rPr>
      <t>COPIOA LLEVE INGRSO SEGURIDAD</t>
    </r>
  </si>
  <si>
    <r>
      <rPr>
        <rFont val="Calibri"/>
        <color theme="1"/>
        <sz val="9.0"/>
      </rPr>
      <t>LECOS SERVICIOS</t>
    </r>
  </si>
  <si>
    <r>
      <rPr>
        <rFont val="Calibri"/>
        <color theme="1"/>
        <sz val="9.0"/>
      </rPr>
      <t>FACTURA NRO 00004-0396 MANTENIMIENTO ELECTRICOS</t>
    </r>
  </si>
  <si>
    <r>
      <rPr>
        <rFont val="Calibri"/>
        <color theme="1"/>
        <sz val="9.0"/>
      </rPr>
      <t>CLEANNIG SERVICE</t>
    </r>
  </si>
  <si>
    <r>
      <rPr>
        <rFont val="Calibri"/>
        <color theme="1"/>
        <sz val="9.0"/>
      </rPr>
      <t>MATERIALES DE LIMPIEZA</t>
    </r>
  </si>
  <si>
    <r>
      <rPr>
        <rFont val="Calibri"/>
        <color theme="1"/>
        <sz val="9.0"/>
      </rPr>
      <t>IVESS FOGIONE</t>
    </r>
  </si>
  <si>
    <r>
      <rPr>
        <rFont val="Calibri"/>
        <color theme="1"/>
        <sz val="9.0"/>
      </rPr>
      <t>COMPRA DE 7 BIDONES DE AGUA</t>
    </r>
  </si>
  <si>
    <r>
      <rPr>
        <rFont val="Calibri"/>
        <color theme="1"/>
        <sz val="9.0"/>
      </rPr>
      <t>FB SANEAMIENTO AMBIENTAL</t>
    </r>
  </si>
  <si>
    <r>
      <rPr>
        <rFont val="Calibri"/>
        <color theme="1"/>
        <sz val="9.0"/>
      </rPr>
      <t>DESINSECTACION</t>
    </r>
  </si>
  <si>
    <r>
      <rPr>
        <rFont val="Calibri"/>
        <b/>
        <color theme="1"/>
        <sz val="9.0"/>
      </rPr>
      <t>Total rubro:</t>
    </r>
  </si>
  <si>
    <r>
      <rPr>
        <rFont val="Calibri"/>
        <b/>
        <color rgb="FF404040"/>
        <sz val="9.0"/>
      </rPr>
      <t>GASTOS BANCARIOS</t>
    </r>
  </si>
  <si>
    <r>
      <rPr>
        <rFont val="Calibri"/>
        <b/>
        <color rgb="FF404040"/>
        <sz val="9.0"/>
      </rPr>
      <t>GASTOS A</t>
    </r>
  </si>
  <si>
    <r>
      <rPr>
        <rFont val="Calibri"/>
        <color theme="1"/>
        <sz val="9.0"/>
      </rPr>
      <t>COMISION DE MANTENIMIENTO, IVA, IIBB</t>
    </r>
  </si>
  <si>
    <r>
      <rPr>
        <rFont val="Calibri"/>
        <color theme="1"/>
        <sz val="9.0"/>
      </rPr>
      <t>LEY 25413</t>
    </r>
  </si>
  <si>
    <r>
      <rPr>
        <rFont val="Calibri"/>
        <b/>
        <color theme="1"/>
        <sz val="9.0"/>
      </rPr>
      <t>Total rubro:</t>
    </r>
  </si>
  <si>
    <r>
      <rPr>
        <rFont val="Calibri"/>
        <b/>
        <color rgb="FF404040"/>
        <sz val="9.0"/>
      </rPr>
      <t>SEGUROS ORDINARIOS</t>
    </r>
  </si>
  <si>
    <r>
      <rPr>
        <rFont val="Calibri"/>
        <b/>
        <color rgb="FF404040"/>
        <sz val="9.0"/>
      </rPr>
      <t>GASTOS A</t>
    </r>
  </si>
  <si>
    <r>
      <rPr>
        <rFont val="Calibri"/>
        <color theme="1"/>
        <sz val="9.0"/>
      </rPr>
      <t>HOLANDO POLIZA N°2000004.5</t>
    </r>
  </si>
  <si>
    <r>
      <rPr>
        <rFont val="Calibri"/>
        <color theme="1"/>
        <sz val="9.0"/>
      </rPr>
      <t>SEGURO INTEGRAL DEL CONSORCIO</t>
    </r>
  </si>
  <si>
    <r>
      <rPr>
        <rFont val="Calibri"/>
        <color theme="1"/>
        <sz val="9.0"/>
      </rPr>
      <t>ALLIANZ GRAL POLIZA</t>
    </r>
  </si>
  <si>
    <r>
      <rPr>
        <rFont val="Calibri"/>
        <color theme="1"/>
        <sz val="9.0"/>
      </rPr>
      <t>SEGURO PERSONAL</t>
    </r>
  </si>
  <si>
    <r>
      <rPr>
        <rFont val="Calibri"/>
        <b/>
        <color theme="1"/>
        <sz val="9.0"/>
      </rPr>
      <t>Total rubro:</t>
    </r>
  </si>
  <si>
    <r>
      <rPr>
        <rFont val="Calibri"/>
        <b/>
        <color rgb="FF404040"/>
        <sz val="9.0"/>
      </rPr>
      <t>SEGURIDAD</t>
    </r>
  </si>
  <si>
    <r>
      <rPr>
        <rFont val="Calibri"/>
        <b/>
        <color rgb="FF404040"/>
        <sz val="9.0"/>
      </rPr>
      <t xml:space="preserve">GASTOS
</t>
    </r>
    <r>
      <rPr>
        <rFont val="Calibri"/>
        <b/>
        <color rgb="FF404040"/>
        <sz val="9.0"/>
      </rPr>
      <t>SEGURIDAD</t>
    </r>
  </si>
  <si>
    <r>
      <rPr>
        <rFont val="Calibri"/>
        <b/>
        <color rgb="FF404040"/>
        <sz val="9.0"/>
      </rPr>
      <t>GASTOS B</t>
    </r>
  </si>
  <si>
    <r>
      <rPr>
        <rFont val="Calibri"/>
        <color theme="1"/>
        <sz val="9.0"/>
      </rPr>
      <t>MM SERVICIOS DE SEGURIDAD</t>
    </r>
  </si>
  <si>
    <r>
      <rPr>
        <rFont val="Calibri"/>
        <color theme="1"/>
        <sz val="9.0"/>
      </rPr>
      <t>SEGURIDAD DEL EDIFICIO FACTURA NRO 00002-0046</t>
    </r>
  </si>
  <si>
    <r>
      <rPr>
        <rFont val="Calibri"/>
        <color theme="1"/>
        <sz val="9.0"/>
      </rPr>
      <t>MM SERVICIOS DE SEGURIDAD</t>
    </r>
  </si>
  <si>
    <r>
      <rPr>
        <rFont val="Calibri"/>
        <color theme="1"/>
        <sz val="9.0"/>
      </rPr>
      <t>DIFERENCIA LIQUIDACION DICIEMBRE 2025</t>
    </r>
  </si>
  <si>
    <r>
      <rPr>
        <rFont val="Calibri"/>
        <b/>
        <color theme="1"/>
        <sz val="9.0"/>
      </rPr>
      <t>Total rubro:</t>
    </r>
  </si>
  <si>
    <r>
      <rPr>
        <rFont val="Calibri"/>
        <b/>
        <color rgb="FF404040"/>
        <sz val="9.0"/>
      </rPr>
      <t>JARDINERIA</t>
    </r>
  </si>
  <si>
    <r>
      <rPr>
        <rFont val="Calibri"/>
        <b/>
        <color rgb="FF404040"/>
        <sz val="9.0"/>
      </rPr>
      <t>GASTOS A</t>
    </r>
  </si>
  <si>
    <r>
      <rPr>
        <rFont val="Calibri"/>
        <b/>
        <color rgb="FF404040"/>
        <sz val="9.0"/>
      </rPr>
      <t>GASTOS B</t>
    </r>
  </si>
  <si>
    <r>
      <rPr>
        <rFont val="Calibri"/>
        <b/>
        <color rgb="FF404040"/>
        <sz val="9.0"/>
      </rPr>
      <t xml:space="preserve">GASTOS
</t>
    </r>
    <r>
      <rPr>
        <rFont val="Calibri"/>
        <b/>
        <color rgb="FF404040"/>
        <sz val="9.0"/>
      </rPr>
      <t>PARTICULARES</t>
    </r>
  </si>
  <si>
    <r>
      <rPr>
        <rFont val="Calibri"/>
        <color theme="1"/>
        <sz val="9.0"/>
      </rPr>
      <t>CHRISTIAN OGAZ</t>
    </r>
  </si>
  <si>
    <r>
      <rPr>
        <rFont val="Calibri"/>
        <color theme="1"/>
        <sz val="9.0"/>
      </rPr>
      <t>CORTE DE CESPED 16/01 Y 24/01</t>
    </r>
  </si>
  <si>
    <r>
      <rPr>
        <rFont val="Calibri"/>
        <b/>
        <color theme="1"/>
        <sz val="9.0"/>
      </rPr>
      <t>Total rubro:</t>
    </r>
  </si>
  <si>
    <r>
      <rPr>
        <rFont val="Calibri"/>
        <b/>
        <color rgb="FF404040"/>
        <sz val="9.0"/>
      </rPr>
      <t>GASTOS DE ADMINISTRACION</t>
    </r>
  </si>
  <si>
    <r>
      <rPr>
        <rFont val="Calibri"/>
        <b/>
        <color rgb="FF404040"/>
        <sz val="9.0"/>
      </rPr>
      <t>GASTOS A</t>
    </r>
  </si>
  <si>
    <r>
      <rPr>
        <rFont val="Calibri"/>
        <b/>
        <color rgb="FF404040"/>
        <sz val="9.0"/>
      </rPr>
      <t>GASTOS B</t>
    </r>
  </si>
  <si>
    <r>
      <rPr>
        <rFont val="Calibri"/>
        <b/>
        <color rgb="FF404040"/>
        <sz val="9.0"/>
      </rPr>
      <t>GASTOS PARTICULARES</t>
    </r>
  </si>
  <si>
    <r>
      <rPr>
        <rFont val="Calibri"/>
        <color theme="1"/>
        <sz val="9.0"/>
      </rPr>
      <t>HONORARIOS CONTADOR FACTURA NRO 00002-0876</t>
    </r>
  </si>
  <si>
    <r>
      <rPr>
        <rFont val="Calibri"/>
        <color theme="1"/>
        <sz val="9.0"/>
      </rPr>
      <t>FOTOCOPIAS DICIEMBRE 2025</t>
    </r>
  </si>
  <si>
    <r>
      <rPr>
        <rFont val="Calibri"/>
        <b/>
        <color theme="1"/>
        <sz val="9.0"/>
      </rPr>
      <t>Total rubro:</t>
    </r>
  </si>
  <si>
    <r>
      <rPr>
        <rFont val="Calibri"/>
        <b/>
        <color rgb="FF404040"/>
        <sz val="9.0"/>
      </rPr>
      <t>HONORARIOS PROFESIONALES</t>
    </r>
  </si>
  <si>
    <r>
      <rPr>
        <rFont val="Calibri"/>
        <b/>
        <color rgb="FF404040"/>
        <sz val="9.0"/>
      </rPr>
      <t>GASTOS A</t>
    </r>
  </si>
  <si>
    <r>
      <rPr>
        <rFont val="Calibri"/>
        <color theme="1"/>
        <sz val="8.0"/>
      </rPr>
      <t>D&amp;F Administracion</t>
    </r>
  </si>
  <si>
    <r>
      <rPr>
        <rFont val="Calibri"/>
        <color theme="1"/>
        <sz val="9.0"/>
      </rPr>
      <t>ENERO 2026 FACTURA NRO 00001-0262</t>
    </r>
  </si>
  <si>
    <r>
      <rPr>
        <rFont val="Calibri"/>
        <b/>
        <color theme="1"/>
        <sz val="9.0"/>
      </rPr>
      <t>Total rubro:</t>
    </r>
  </si>
  <si>
    <r>
      <rPr>
        <rFont val="Calibri"/>
        <b/>
        <color theme="1"/>
        <sz val="9.0"/>
      </rPr>
      <t>SUBTOTALES X GASTOS</t>
    </r>
  </si>
  <si>
    <r>
      <rPr>
        <rFont val="Calibri"/>
        <b/>
        <color theme="1"/>
        <sz val="9.0"/>
      </rPr>
      <t>TOTAL GASTOS ORDINARIOS</t>
    </r>
  </si>
  <si>
    <r>
      <rPr>
        <rFont val="Calibri"/>
        <b/>
        <color rgb="FF404040"/>
        <sz val="9.0"/>
      </rPr>
      <t>COMPOSICIÓN DE ESTADO FINANCIERO CUENTA CORRIENTE BANCO GALICIA</t>
    </r>
  </si>
  <si>
    <r>
      <rPr>
        <rFont val="Calibri"/>
        <b/>
        <color theme="1"/>
        <sz val="9.0"/>
      </rPr>
      <t>SALDO ANTERIOR 31-12-2025</t>
    </r>
  </si>
  <si>
    <r>
      <rPr>
        <rFont val="Calibri"/>
        <color theme="1"/>
        <sz val="9.0"/>
      </rPr>
      <t>INGRESOS DE EXPENSAS (Por Trasferencias)</t>
    </r>
  </si>
  <si>
    <r>
      <rPr>
        <rFont val="Calibri"/>
        <color theme="1"/>
        <sz val="9.0"/>
      </rPr>
      <t>SUELDOS</t>
    </r>
  </si>
  <si>
    <r>
      <rPr>
        <rFont val="Calibri"/>
        <color rgb="FFFF0000"/>
        <sz val="9.0"/>
      </rPr>
      <t>-$</t>
    </r>
  </si>
  <si>
    <r>
      <rPr>
        <rFont val="Calibri"/>
        <color theme="1"/>
        <sz val="9.0"/>
      </rPr>
      <t>ARCA</t>
    </r>
  </si>
  <si>
    <r>
      <rPr>
        <rFont val="Calibri"/>
        <color rgb="FFFF0000"/>
        <sz val="9.0"/>
      </rPr>
      <t>-$</t>
    </r>
  </si>
  <si>
    <r>
      <rPr>
        <rFont val="Calibri"/>
        <color theme="1"/>
        <sz val="9.0"/>
      </rPr>
      <t>CUOTA SINDICAL</t>
    </r>
  </si>
  <si>
    <r>
      <rPr>
        <rFont val="Calibri"/>
        <color rgb="FFFF0000"/>
        <sz val="9.0"/>
      </rPr>
      <t>-$</t>
    </r>
  </si>
  <si>
    <r>
      <rPr>
        <rFont val="Calibri"/>
        <color theme="1"/>
        <sz val="9.0"/>
      </rPr>
      <t>COMISION PAQUETE + IVA</t>
    </r>
  </si>
  <si>
    <r>
      <rPr>
        <rFont val="Calibri"/>
        <color rgb="FFFF0000"/>
        <sz val="9.0"/>
      </rPr>
      <t>-$</t>
    </r>
  </si>
  <si>
    <r>
      <rPr>
        <rFont val="Calibri"/>
        <color theme="1"/>
        <sz val="9.0"/>
      </rPr>
      <t>SEGUROS</t>
    </r>
  </si>
  <si>
    <r>
      <rPr>
        <rFont val="Calibri"/>
        <color rgb="FFFF0000"/>
        <sz val="9.0"/>
      </rPr>
      <t>-$</t>
    </r>
  </si>
  <si>
    <r>
      <rPr>
        <rFont val="Calibri"/>
        <color theme="1"/>
        <sz val="9.0"/>
      </rPr>
      <t>SERVICIOS</t>
    </r>
  </si>
  <si>
    <r>
      <rPr>
        <rFont val="Calibri"/>
        <color rgb="FFFF0000"/>
        <sz val="9.0"/>
      </rPr>
      <t>-$</t>
    </r>
  </si>
  <si>
    <r>
      <rPr>
        <rFont val="Calibri"/>
        <color theme="1"/>
        <sz val="9.0"/>
      </rPr>
      <t>PROVEEDORES</t>
    </r>
  </si>
  <si>
    <r>
      <rPr>
        <rFont val="Calibri"/>
        <color rgb="FFFF0000"/>
        <sz val="9.0"/>
      </rPr>
      <t>-$</t>
    </r>
  </si>
  <si>
    <r>
      <rPr>
        <rFont val="Calibri"/>
        <color theme="1"/>
        <sz val="9.0"/>
      </rPr>
      <t>IMPUESTO LEY 25413</t>
    </r>
  </si>
  <si>
    <r>
      <rPr>
        <rFont val="Calibri"/>
        <color rgb="FFFF0000"/>
        <sz val="9.0"/>
      </rPr>
      <t>-$</t>
    </r>
  </si>
  <si>
    <r>
      <rPr>
        <rFont val="Calibri"/>
        <b/>
        <color theme="1"/>
        <sz val="9.0"/>
      </rPr>
      <t>SALDO AL CIERRE 30-01-2026</t>
    </r>
  </si>
  <si>
    <r>
      <rPr>
        <rFont val="Calibri"/>
        <b/>
        <color theme="1"/>
        <sz val="9.0"/>
      </rPr>
      <t>FONDO DE RESERVA - LIQUIDADO EN EXPENSA VS ABONADO</t>
    </r>
  </si>
  <si>
    <r>
      <rPr>
        <rFont val="Calibri"/>
        <b/>
        <color theme="1"/>
        <sz val="9.0"/>
      </rPr>
      <t>PERIODO</t>
    </r>
  </si>
  <si>
    <r>
      <rPr>
        <rFont val="Calibri"/>
        <b/>
        <color theme="1"/>
        <sz val="9.0"/>
      </rPr>
      <t>DESCRIPCION</t>
    </r>
  </si>
  <si>
    <r>
      <rPr>
        <rFont val="Calibri"/>
        <b/>
        <color theme="1"/>
        <sz val="9.0"/>
      </rPr>
      <t>LIQUIDADO</t>
    </r>
  </si>
  <si>
    <r>
      <rPr>
        <rFont val="Calibri"/>
        <b/>
        <color theme="1"/>
        <sz val="9.0"/>
      </rPr>
      <t>RECAUDADO</t>
    </r>
  </si>
  <si>
    <r>
      <rPr>
        <rFont val="Calibri"/>
        <b/>
        <color theme="1"/>
        <sz val="9.0"/>
      </rPr>
      <t>ABONADO</t>
    </r>
  </si>
  <si>
    <r>
      <rPr>
        <rFont val="Calibri"/>
        <b/>
        <color theme="1"/>
        <sz val="9.0"/>
      </rPr>
      <t>FECHA DE PAGO</t>
    </r>
  </si>
  <si>
    <r>
      <rPr>
        <rFont val="Calibri"/>
        <b/>
        <color theme="1"/>
        <sz val="9.0"/>
      </rPr>
      <t>SALDO EN CUENTA AL INICIO DE LA GESTION</t>
    </r>
  </si>
  <si>
    <r>
      <rPr>
        <rFont val="Calibri"/>
        <b/>
        <color theme="1"/>
        <sz val="9.0"/>
      </rPr>
      <t>EXPENSA JULIO</t>
    </r>
  </si>
  <si>
    <r>
      <rPr>
        <rFont val="Calibri"/>
        <color theme="1"/>
        <sz val="9.0"/>
      </rPr>
      <t>PROVISION</t>
    </r>
  </si>
  <si>
    <r>
      <rPr>
        <rFont val="Calibri"/>
        <color theme="1"/>
        <sz val="9.0"/>
      </rPr>
      <t>PARA PINTURA EDIFICIO</t>
    </r>
  </si>
  <si>
    <r>
      <rPr>
        <rFont val="Calibri"/>
        <color theme="1"/>
        <sz val="9.0"/>
      </rPr>
      <t>$               -</t>
    </r>
  </si>
  <si>
    <r>
      <rPr>
        <rFont val="Calibri"/>
        <color theme="1"/>
        <sz val="9.0"/>
      </rPr>
      <t>N/A</t>
    </r>
  </si>
  <si>
    <r>
      <rPr>
        <rFont val="Calibri"/>
        <b/>
        <color theme="1"/>
        <sz val="9.0"/>
      </rPr>
      <t>EXPENSA AGOSTO</t>
    </r>
  </si>
  <si>
    <r>
      <rPr>
        <rFont val="Calibri"/>
        <color theme="1"/>
        <sz val="9.0"/>
      </rPr>
      <t>PROVISION</t>
    </r>
  </si>
  <si>
    <r>
      <rPr>
        <rFont val="Calibri"/>
        <color theme="1"/>
        <sz val="9.0"/>
      </rPr>
      <t>PARA PINTURA EDIFICIO</t>
    </r>
  </si>
  <si>
    <r>
      <rPr>
        <rFont val="Calibri"/>
        <color theme="1"/>
        <sz val="9.0"/>
      </rPr>
      <t>$               -</t>
    </r>
  </si>
  <si>
    <r>
      <rPr>
        <rFont val="Calibri"/>
        <color theme="1"/>
        <sz val="9.0"/>
      </rPr>
      <t>N/A</t>
    </r>
  </si>
  <si>
    <r>
      <rPr>
        <rFont val="Calibri"/>
        <b/>
        <color theme="1"/>
        <sz val="9.0"/>
      </rPr>
      <t>EXPENSA SEPTIEMBRE</t>
    </r>
  </si>
  <si>
    <r>
      <rPr>
        <rFont val="Calibri"/>
        <color theme="1"/>
        <sz val="9.0"/>
      </rPr>
      <t>PROVISION</t>
    </r>
  </si>
  <si>
    <r>
      <rPr>
        <rFont val="Calibri"/>
        <color theme="1"/>
        <sz val="9.0"/>
      </rPr>
      <t>PARA PINTURA EDIFICIO</t>
    </r>
  </si>
  <si>
    <r>
      <rPr>
        <rFont val="Calibri"/>
        <color theme="1"/>
        <sz val="9.0"/>
      </rPr>
      <t>$               -</t>
    </r>
  </si>
  <si>
    <r>
      <rPr>
        <rFont val="Calibri"/>
        <color theme="1"/>
        <sz val="9.0"/>
      </rPr>
      <t>N/A</t>
    </r>
  </si>
  <si>
    <r>
      <rPr>
        <rFont val="Calibri"/>
        <b/>
        <color theme="1"/>
        <sz val="9.0"/>
      </rPr>
      <t>EXPENSA OCTUBRE</t>
    </r>
  </si>
  <si>
    <r>
      <rPr>
        <rFont val="Calibri"/>
        <color theme="1"/>
        <sz val="9.0"/>
      </rPr>
      <t>PROVISION</t>
    </r>
  </si>
  <si>
    <r>
      <rPr>
        <rFont val="Calibri"/>
        <color theme="1"/>
        <sz val="9.0"/>
      </rPr>
      <t>PARA PINTURA EDIFICIO</t>
    </r>
  </si>
  <si>
    <r>
      <rPr>
        <rFont val="Calibri"/>
        <color theme="1"/>
        <sz val="9.0"/>
      </rPr>
      <t>$               -</t>
    </r>
  </si>
  <si>
    <r>
      <rPr>
        <rFont val="Calibri"/>
        <color theme="1"/>
        <sz val="9.0"/>
      </rPr>
      <t>N/A</t>
    </r>
  </si>
  <si>
    <r>
      <rPr>
        <rFont val="Calibri"/>
        <b/>
        <color theme="1"/>
        <sz val="9.0"/>
      </rPr>
      <t>EXPENSA NOVIEMBRE</t>
    </r>
  </si>
  <si>
    <r>
      <rPr>
        <rFont val="Calibri"/>
        <color theme="1"/>
        <sz val="9.0"/>
      </rPr>
      <t>PROVISION</t>
    </r>
  </si>
  <si>
    <r>
      <rPr>
        <rFont val="Calibri"/>
        <color theme="1"/>
        <sz val="9.0"/>
      </rPr>
      <t>PARA PINTURA EDIFICIO</t>
    </r>
  </si>
  <si>
    <r>
      <rPr>
        <rFont val="Calibri"/>
        <color theme="1"/>
        <sz val="9.0"/>
      </rPr>
      <t>$               -</t>
    </r>
  </si>
  <si>
    <r>
      <rPr>
        <rFont val="Calibri"/>
        <color theme="1"/>
        <sz val="9.0"/>
      </rPr>
      <t>N/A</t>
    </r>
  </si>
  <si>
    <t>NO ABONO NADIE EN DICIEMBRE Y ENERO SOBRE ESTA DEUDA?</t>
  </si>
  <si>
    <r>
      <rPr>
        <rFont val="Calibri"/>
        <b/>
        <color theme="1"/>
        <sz val="9.0"/>
      </rPr>
      <t>EXPENSA DICIEMBRE</t>
    </r>
  </si>
  <si>
    <r>
      <rPr>
        <rFont val="Calibri"/>
        <color theme="1"/>
        <sz val="9.0"/>
      </rPr>
      <t>PROVISION</t>
    </r>
  </si>
  <si>
    <r>
      <rPr>
        <rFont val="Calibri"/>
        <color theme="1"/>
        <sz val="9.0"/>
      </rPr>
      <t>PARA PINTURA EDIFICIO</t>
    </r>
  </si>
  <si>
    <r>
      <rPr>
        <rFont val="Calibri"/>
        <color theme="0"/>
        <sz val="9.0"/>
      </rPr>
      <t>$               -</t>
    </r>
  </si>
  <si>
    <r>
      <rPr>
        <rFont val="Calibri"/>
        <color theme="1"/>
        <sz val="9.0"/>
      </rPr>
      <t>$               -</t>
    </r>
  </si>
  <si>
    <r>
      <rPr>
        <rFont val="Calibri"/>
        <color theme="1"/>
        <sz val="9.0"/>
      </rPr>
      <t>N/A</t>
    </r>
  </si>
  <si>
    <t>NO SE RECAUDO NADA COMO ES QUE LOS 70 PROPIETARIOS NO ESTAMOS EN MOROSOS POR ESTA DECLARACIÓN</t>
  </si>
  <si>
    <r>
      <rPr>
        <rFont val="Calibri"/>
        <color theme="1"/>
        <sz val="9.0"/>
      </rPr>
      <t>RAFAEL MOREL</t>
    </r>
  </si>
  <si>
    <r>
      <rPr>
        <rFont val="Calibri"/>
        <color theme="1"/>
        <sz val="9.0"/>
      </rPr>
      <t>TRABAJO DE PINTURA</t>
    </r>
  </si>
  <si>
    <r>
      <rPr>
        <rFont val="Calibri"/>
        <color theme="1"/>
        <sz val="9.0"/>
      </rPr>
      <t>$               -</t>
    </r>
  </si>
  <si>
    <r>
      <rPr>
        <rFont val="Calibri"/>
        <color theme="1"/>
        <sz val="9.0"/>
      </rPr>
      <t>$               -</t>
    </r>
  </si>
  <si>
    <t>CON RECIBI FALTA LA FACTURA</t>
  </si>
  <si>
    <r>
      <rPr>
        <rFont val="Calibri"/>
        <color theme="1"/>
        <sz val="9.0"/>
      </rPr>
      <t>RAFAEL MOREL</t>
    </r>
  </si>
  <si>
    <r>
      <rPr>
        <rFont val="Calibri"/>
        <color theme="1"/>
        <sz val="9.0"/>
      </rPr>
      <t>TRABAJO DE PINTURA</t>
    </r>
  </si>
  <si>
    <r>
      <rPr>
        <rFont val="Calibri"/>
        <color theme="1"/>
        <sz val="9.0"/>
      </rPr>
      <t>$               -</t>
    </r>
  </si>
  <si>
    <r>
      <rPr>
        <rFont val="Calibri"/>
        <color theme="1"/>
        <sz val="9.0"/>
      </rPr>
      <t>$               -</t>
    </r>
  </si>
  <si>
    <r>
      <rPr>
        <rFont val="Calibri"/>
        <color theme="1"/>
        <sz val="9.0"/>
      </rPr>
      <t>RAFAEL MOREL</t>
    </r>
  </si>
  <si>
    <r>
      <rPr>
        <rFont val="Calibri"/>
        <color theme="1"/>
        <sz val="9.0"/>
      </rPr>
      <t>TRABAJO DE PINTURA</t>
    </r>
  </si>
  <si>
    <r>
      <rPr>
        <rFont val="Calibri"/>
        <color theme="1"/>
        <sz val="9.0"/>
      </rPr>
      <t>$               -</t>
    </r>
  </si>
  <si>
    <r>
      <rPr>
        <rFont val="Calibri"/>
        <color theme="1"/>
        <sz val="9.0"/>
      </rPr>
      <t>$               -</t>
    </r>
  </si>
  <si>
    <r>
      <rPr>
        <rFont val="Calibri"/>
        <color theme="1"/>
        <sz val="9.0"/>
      </rPr>
      <t>RAFAEL MOREL</t>
    </r>
  </si>
  <si>
    <r>
      <rPr>
        <rFont val="Calibri"/>
        <color theme="1"/>
        <sz val="9.0"/>
      </rPr>
      <t>TRABAJO DE PINTURA</t>
    </r>
  </si>
  <si>
    <r>
      <rPr>
        <rFont val="Calibri"/>
        <color theme="1"/>
        <sz val="9.0"/>
      </rPr>
      <t>$               -</t>
    </r>
  </si>
  <si>
    <r>
      <rPr>
        <rFont val="Calibri"/>
        <color theme="1"/>
        <sz val="9.0"/>
      </rPr>
      <t>$               -</t>
    </r>
  </si>
  <si>
    <r>
      <rPr>
        <rFont val="Calibri"/>
        <color theme="1"/>
        <sz val="9.0"/>
      </rPr>
      <t>UNION E HIJOS</t>
    </r>
  </si>
  <si>
    <r>
      <rPr>
        <rFont val="Calibri"/>
        <color theme="1"/>
        <sz val="9.0"/>
      </rPr>
      <t>COMPRA DE PINTURA</t>
    </r>
  </si>
  <si>
    <r>
      <rPr>
        <rFont val="Calibri"/>
        <color theme="1"/>
        <sz val="9.0"/>
      </rPr>
      <t>$               -</t>
    </r>
  </si>
  <si>
    <r>
      <rPr>
        <rFont val="Calibri"/>
        <color theme="1"/>
        <sz val="9.0"/>
      </rPr>
      <t>$               -</t>
    </r>
  </si>
  <si>
    <t>CON FACTURAS</t>
  </si>
  <si>
    <t>VER DETALLE</t>
  </si>
  <si>
    <r>
      <rPr>
        <rFont val="Calibri"/>
        <b/>
        <color theme="1"/>
        <sz val="9.0"/>
      </rPr>
      <t>EXPENSA ENERO</t>
    </r>
  </si>
  <si>
    <r>
      <rPr>
        <rFont val="Calibri"/>
        <color theme="1"/>
        <sz val="9.0"/>
      </rPr>
      <t>PROVISION</t>
    </r>
  </si>
  <si>
    <r>
      <rPr>
        <rFont val="Calibri"/>
        <color theme="1"/>
        <sz val="9.0"/>
      </rPr>
      <t>PARA PINTURA EDIFICIO</t>
    </r>
  </si>
  <si>
    <r>
      <rPr>
        <rFont val="Calibri"/>
        <color theme="1"/>
        <sz val="9.0"/>
      </rPr>
      <t>$               -</t>
    </r>
  </si>
  <si>
    <r>
      <rPr>
        <rFont val="Calibri"/>
        <color theme="1"/>
        <sz val="9.0"/>
      </rPr>
      <t>N/A</t>
    </r>
  </si>
  <si>
    <r>
      <rPr>
        <rFont val="Calibri"/>
        <color theme="1"/>
        <sz val="9.0"/>
      </rPr>
      <t>RAFAEL MOREL</t>
    </r>
  </si>
  <si>
    <r>
      <rPr>
        <rFont val="Calibri"/>
        <color theme="1"/>
        <sz val="9.0"/>
      </rPr>
      <t>TRABAJO DE PINTURA</t>
    </r>
  </si>
  <si>
    <r>
      <rPr>
        <rFont val="Calibri"/>
        <color theme="1"/>
        <sz val="9.0"/>
      </rPr>
      <t>RAFAEL MOREL</t>
    </r>
  </si>
  <si>
    <r>
      <rPr>
        <rFont val="Calibri"/>
        <color theme="1"/>
        <sz val="9.0"/>
      </rPr>
      <t>TRABAJO DE PINTURA</t>
    </r>
  </si>
  <si>
    <r>
      <rPr>
        <rFont val="Calibri"/>
        <color theme="1"/>
        <sz val="9.0"/>
      </rPr>
      <t>RAFAEL MOREL</t>
    </r>
  </si>
  <si>
    <r>
      <rPr>
        <rFont val="Calibri"/>
        <color theme="1"/>
        <sz val="9.0"/>
      </rPr>
      <t>TRABAJO DE PINTURA</t>
    </r>
  </si>
  <si>
    <r>
      <rPr>
        <rFont val="Calibri"/>
        <color theme="1"/>
        <sz val="9.0"/>
      </rPr>
      <t>UNION E HIJOS</t>
    </r>
  </si>
  <si>
    <r>
      <rPr>
        <rFont val="Calibri"/>
        <color theme="1"/>
        <sz val="9.0"/>
      </rPr>
      <t>COMPRA DE PINTURA</t>
    </r>
  </si>
  <si>
    <r>
      <rPr>
        <rFont val="Calibri"/>
        <b/>
        <color theme="1"/>
        <sz val="9.0"/>
      </rPr>
      <t>TOTALES</t>
    </r>
  </si>
  <si>
    <r>
      <rPr>
        <rFont val="Calibri"/>
        <b/>
        <color theme="1"/>
        <sz val="9.0"/>
      </rPr>
      <t>SALDO AL 31-12-2025</t>
    </r>
  </si>
  <si>
    <t>SIGUE SIN INCLUIRSE LA RECAUDACIÓN DE EXTRAORDINARIAS DEL MES PASADO POR 3.500.000 Y LOS 3.500.000 PROVISIONADOS DE ESTE MES QUE FIGURAN EN LA LIQUIDACIÓN COMO PAGO CUOTA 1 Y 2 DE PINTURAS</t>
  </si>
  <si>
    <r>
      <rPr>
        <rFont val="Calibri"/>
        <b/>
        <color theme="1"/>
        <sz val="11.0"/>
      </rPr>
      <t>NOVEDADES DEL MES</t>
    </r>
  </si>
  <si>
    <r>
      <rPr>
        <rFont val="Calibri"/>
        <b/>
        <color theme="1"/>
        <sz val="8.0"/>
      </rPr>
      <t>SE LIQUIDO UNA DIFERENCIA DE GASTO DE SEGURIDAD DEL MES DE DICIEMBRE 2025, DONDE EN EL TOTAL DE LA COLUMNA FIGURA $3.704.325 DONDE CADA UNIDAD DEBERIA HABER ABONADO $52.919.- Y PAGO $30.053.- POR UN ERROR EN LA PLANILLA, LA DIFERENCIA ENTRE AMBOS MONTOS DA LOS $22.865,93 QUE AL MULTIPLICARSE POR LAS 70 UF DA DA COMO RESULTADO EL MONTO LIQUIDADO.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</si>
</sst>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&quot;$&quot;#,##0.00"/>
    <numFmt numFmtId="165" formatCode="d/m"/>
    <numFmt numFmtId="166" formatCode="0.000 %"/>
    <numFmt numFmtId="167" formatCode="$ #,##0"/>
    <numFmt numFmtId="168" formatCode="$ #,##0;[Red]$ #,##0"/>
    <numFmt numFmtId="169" formatCode="$ #,##0.00"/>
    <numFmt numFmtId="170" formatCode="$ 0"/>
    <numFmt numFmtId="171" formatCode="$ 0;[Red]$ 0"/>
    <numFmt numFmtId="172" formatCode="0.00 %"/>
    <numFmt numFmtId="173" formatCode="0 %"/>
    <numFmt numFmtId="174" formatCode="#,##0.00;[Red]#,##0.00"/>
    <numFmt numFmtId="175" formatCode="&quot;$&quot;#,##0"/>
    <numFmt numFmtId="176" formatCode="d/m/yyyy"/>
  </numFmts>
  <fonts count="33">
    <font>
      <sz val="10.0"/>
      <color rgb="FF000000"/>
      <name val="Times New Roman"/>
      <scheme val="minor"/>
    </font>
    <font>
      <b/>
      <sz val="8.0"/>
      <color theme="1"/>
      <name val="Calibri"/>
    </font>
    <font/>
    <font>
      <color theme="1"/>
      <name val="Times New Roman"/>
    </font>
    <font>
      <b/>
      <color theme="1"/>
      <name val="Times New Roman"/>
    </font>
    <font>
      <u/>
      <sz val="10.0"/>
      <color rgb="FF000000"/>
      <name val="Times New Roman"/>
    </font>
    <font>
      <sz val="10.0"/>
      <color rgb="FF000000"/>
      <name val="Times New Roman"/>
    </font>
    <font>
      <b/>
      <sz val="10.0"/>
      <color theme="1"/>
      <name val="Calibri"/>
    </font>
    <font>
      <color rgb="FF990000"/>
      <name val="Times New Roman"/>
    </font>
    <font>
      <color theme="6"/>
      <name val="Times New Roman"/>
    </font>
    <font>
      <b/>
      <sz val="10.0"/>
      <color rgb="FF000000"/>
      <name val="Calibri"/>
    </font>
    <font>
      <sz val="10.0"/>
      <color rgb="FF000000"/>
      <name val="Calibri"/>
    </font>
    <font>
      <sz val="10.0"/>
      <color rgb="FFFF0000"/>
      <name val="Calibri"/>
    </font>
    <font>
      <sz val="10.0"/>
      <color theme="1"/>
      <name val="Calibri"/>
    </font>
    <font>
      <color rgb="FFE06666"/>
      <name val="Times New Roman"/>
    </font>
    <font>
      <color rgb="FFCC0000"/>
      <name val="Times New Roman"/>
    </font>
    <font>
      <b/>
      <sz val="9.0"/>
      <color rgb="FF000000"/>
      <name val="Calibri"/>
    </font>
    <font>
      <b/>
      <sz val="9.0"/>
      <color theme="1"/>
      <name val="Calibri"/>
    </font>
    <font>
      <sz val="9.0"/>
      <color rgb="FF000000"/>
      <name val="Calibri"/>
    </font>
    <font>
      <sz val="9.0"/>
      <color theme="1"/>
      <name val="Calibri"/>
    </font>
    <font>
      <sz val="9.0"/>
      <color rgb="FFFF0000"/>
      <name val="Calibri"/>
    </font>
    <font>
      <b/>
      <sz val="8.0"/>
      <color rgb="FF000000"/>
      <name val="Calibri"/>
    </font>
    <font>
      <b/>
      <sz val="8.0"/>
      <color rgb="FFFF0000"/>
      <name val="Calibri"/>
    </font>
    <font>
      <b/>
      <sz val="7.0"/>
      <color theme="1"/>
      <name val="Calibri"/>
    </font>
    <font>
      <sz val="7.0"/>
      <color theme="1"/>
      <name val="Calibri"/>
    </font>
    <font>
      <sz val="7.0"/>
      <color rgb="FF000000"/>
      <name val="Calibri"/>
    </font>
    <font>
      <b/>
      <sz val="7.0"/>
      <color rgb="FF000000"/>
      <name val="Calibri"/>
    </font>
    <font>
      <sz val="8.0"/>
      <color theme="1"/>
      <name val="Calibri"/>
    </font>
    <font>
      <sz val="9.0"/>
      <color theme="0"/>
      <name val="Calibri"/>
    </font>
    <font>
      <u/>
      <color rgb="FF0000FF"/>
    </font>
    <font>
      <b/>
      <sz val="9.0"/>
      <color rgb="FFFF0000"/>
      <name val="Calibri"/>
    </font>
    <font>
      <color rgb="FFCC0000"/>
      <name val="Times New Roman"/>
      <scheme val="minor"/>
    </font>
    <font>
      <b/>
      <sz val="11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B8CDE4"/>
        <bgColor rgb="FFB8CDE4"/>
      </patternFill>
    </fill>
    <fill>
      <patternFill patternType="solid">
        <fgColor rgb="FFDCE6F1"/>
        <bgColor rgb="FFDCE6F1"/>
      </patternFill>
    </fill>
    <fill>
      <patternFill patternType="solid">
        <fgColor rgb="FFD9E0F1"/>
        <bgColor rgb="FFD9E0F1"/>
      </patternFill>
    </fill>
    <fill>
      <patternFill patternType="solid">
        <fgColor rgb="FFFFFF00"/>
        <bgColor rgb="FFFFFF00"/>
      </patternFill>
    </fill>
    <fill>
      <patternFill patternType="solid">
        <fgColor rgb="FFBEBEBE"/>
        <bgColor rgb="FFBEBEBE"/>
      </patternFill>
    </fill>
    <fill>
      <patternFill patternType="solid">
        <fgColor rgb="FFFFC000"/>
        <bgColor rgb="FFFFC000"/>
      </patternFill>
    </fill>
    <fill>
      <patternFill patternType="solid">
        <fgColor rgb="FF66CCFF"/>
        <bgColor rgb="FF66CCFF"/>
      </patternFill>
    </fill>
    <fill>
      <patternFill patternType="solid">
        <fgColor rgb="FF99FFCC"/>
        <bgColor rgb="FF99FFCC"/>
      </patternFill>
    </fill>
    <fill>
      <patternFill patternType="solid">
        <fgColor rgb="FFCC0000"/>
        <bgColor rgb="FFCC0000"/>
      </patternFill>
    </fill>
    <fill>
      <patternFill patternType="solid">
        <fgColor rgb="FF00FFCC"/>
        <bgColor rgb="FF00FFCC"/>
      </patternFill>
    </fill>
    <fill>
      <patternFill patternType="solid">
        <fgColor rgb="FFC5D9F0"/>
        <bgColor rgb="FFC5D9F0"/>
      </patternFill>
    </fill>
  </fills>
  <borders count="3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8000"/>
      </right>
      <top style="thin">
        <color rgb="FF000000"/>
      </top>
      <bottom style="thin">
        <color rgb="FF000000"/>
      </bottom>
    </border>
    <border>
      <left style="thin">
        <color rgb="FF008000"/>
      </left>
      <right style="thin">
        <color rgb="FF008000"/>
      </right>
      <top style="thin">
        <color rgb="FF000000"/>
      </top>
      <bottom style="thin">
        <color rgb="FF000000"/>
      </bottom>
    </border>
    <border>
      <left style="thin">
        <color rgb="FF008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DFDFDF"/>
      </right>
      <top style="thin">
        <color rgb="FF000000"/>
      </top>
      <bottom style="thin">
        <color rgb="FF000000"/>
      </bottom>
    </border>
    <border>
      <left style="thin">
        <color rgb="FFDFDFDF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DFDFDF"/>
      </right>
      <top style="thin">
        <color rgb="FF000000"/>
      </top>
      <bottom style="thin">
        <color rgb="FF000000"/>
      </bottom>
    </border>
    <border>
      <left style="thin">
        <color rgb="FFDFDFDF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FFFFFF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top/>
      <bottom style="thin">
        <color rgb="FFFFFFFF"/>
      </bottom>
    </border>
    <border>
      <top/>
      <bottom style="thin">
        <color rgb="FFFFFFFF"/>
      </bottom>
    </border>
    <border>
      <right style="thin">
        <color rgb="FF000000"/>
      </right>
      <top/>
      <bottom style="thin">
        <color rgb="FFFFFFFF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left" vertical="top"/>
    </xf>
    <xf borderId="0" fillId="0" fontId="3" numFmtId="0" xfId="0" applyAlignment="1" applyFont="1">
      <alignment horizontal="left" readingOrder="0" vertical="top"/>
    </xf>
    <xf borderId="0" fillId="0" fontId="1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vertical="top"/>
    </xf>
    <xf borderId="0" fillId="0" fontId="3" numFmtId="164" xfId="0" applyAlignment="1" applyFont="1" applyNumberFormat="1">
      <alignment horizontal="right" readingOrder="0" vertical="top"/>
    </xf>
    <xf borderId="0" fillId="0" fontId="3" numFmtId="0" xfId="0" applyAlignment="1" applyFont="1">
      <alignment horizontal="left" vertical="top"/>
    </xf>
    <xf borderId="0" fillId="0" fontId="3" numFmtId="165" xfId="0" applyAlignment="1" applyFont="1" applyNumberFormat="1">
      <alignment horizontal="left" vertical="top"/>
    </xf>
    <xf borderId="0" fillId="0" fontId="3" numFmtId="164" xfId="0" applyAlignment="1" applyFont="1" applyNumberFormat="1">
      <alignment horizontal="right" vertical="top"/>
    </xf>
    <xf borderId="1" fillId="0" fontId="5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4" fillId="3" fontId="7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ont="1">
      <alignment horizontal="left" shrinkToFit="0" vertical="center" wrapText="1"/>
    </xf>
    <xf borderId="0" fillId="0" fontId="8" numFmtId="165" xfId="0" applyAlignment="1" applyFont="1" applyNumberFormat="1">
      <alignment horizontal="left" vertical="top"/>
    </xf>
    <xf borderId="0" fillId="0" fontId="9" numFmtId="164" xfId="0" applyAlignment="1" applyFont="1" applyNumberFormat="1">
      <alignment horizontal="right" vertical="top"/>
    </xf>
    <xf borderId="0" fillId="0" fontId="8" numFmtId="0" xfId="0" applyAlignment="1" applyFont="1">
      <alignment horizontal="left" vertical="top"/>
    </xf>
    <xf borderId="4" fillId="3" fontId="7" numFmtId="0" xfId="0" applyAlignment="1" applyBorder="1" applyFont="1">
      <alignment horizontal="left" shrinkToFit="0" vertical="top" wrapText="1"/>
    </xf>
    <xf borderId="0" fillId="0" fontId="8" numFmtId="164" xfId="0" applyAlignment="1" applyFont="1" applyNumberFormat="1">
      <alignment horizontal="right" vertical="top"/>
    </xf>
    <xf borderId="4" fillId="0" fontId="10" numFmtId="1" xfId="0" applyAlignment="1" applyBorder="1" applyFont="1" applyNumberFormat="1">
      <alignment horizontal="center" shrinkToFit="1" vertical="top" wrapText="0"/>
    </xf>
    <xf borderId="4" fillId="0" fontId="7" numFmtId="0" xfId="0" applyAlignment="1" applyBorder="1" applyFont="1">
      <alignment horizontal="center" shrinkToFit="0" vertical="top" wrapText="1"/>
    </xf>
    <xf borderId="4" fillId="0" fontId="7" numFmtId="0" xfId="0" applyAlignment="1" applyBorder="1" applyFont="1">
      <alignment horizontal="left" shrinkToFit="0" vertical="top" wrapText="1"/>
    </xf>
    <xf borderId="4" fillId="0" fontId="11" numFmtId="166" xfId="0" applyAlignment="1" applyBorder="1" applyFont="1" applyNumberFormat="1">
      <alignment horizontal="center" shrinkToFit="1" vertical="top" wrapText="0"/>
    </xf>
    <xf borderId="4" fillId="0" fontId="11" numFmtId="167" xfId="0" applyAlignment="1" applyBorder="1" applyFont="1" applyNumberFormat="1">
      <alignment horizontal="center" shrinkToFit="1" vertical="top" wrapText="0"/>
    </xf>
    <xf borderId="4" fillId="0" fontId="12" numFmtId="168" xfId="0" applyAlignment="1" applyBorder="1" applyFont="1" applyNumberFormat="1">
      <alignment horizontal="left" shrinkToFit="1" vertical="top" wrapText="0"/>
    </xf>
    <xf borderId="4" fillId="0" fontId="13" numFmtId="0" xfId="0" applyAlignment="1" applyBorder="1" applyFont="1">
      <alignment horizontal="left" shrinkToFit="0" vertical="top" wrapText="1"/>
    </xf>
    <xf borderId="4" fillId="0" fontId="13" numFmtId="0" xfId="0" applyAlignment="1" applyBorder="1" applyFont="1">
      <alignment horizontal="center" shrinkToFit="0" vertical="top" wrapText="1"/>
    </xf>
    <xf borderId="0" fillId="0" fontId="3" numFmtId="169" xfId="0" applyAlignment="1" applyFont="1" applyNumberFormat="1">
      <alignment horizontal="right" vertical="top"/>
    </xf>
    <xf borderId="0" fillId="0" fontId="8" numFmtId="169" xfId="0" applyAlignment="1" applyFont="1" applyNumberFormat="1">
      <alignment horizontal="right" vertical="top"/>
    </xf>
    <xf borderId="0" fillId="0" fontId="3" numFmtId="169" xfId="0" applyAlignment="1" applyFont="1" applyNumberFormat="1">
      <alignment horizontal="left" vertical="top"/>
    </xf>
    <xf borderId="0" fillId="0" fontId="3" numFmtId="164" xfId="0" applyAlignment="1" applyFont="1" applyNumberFormat="1">
      <alignment horizontal="left" vertical="top"/>
    </xf>
    <xf borderId="0" fillId="0" fontId="14" numFmtId="169" xfId="0" applyAlignment="1" applyFont="1" applyNumberFormat="1">
      <alignment horizontal="right" vertical="top"/>
    </xf>
    <xf borderId="0" fillId="0" fontId="15" numFmtId="165" xfId="0" applyAlignment="1" applyFont="1" applyNumberFormat="1">
      <alignment horizontal="left" vertical="top"/>
    </xf>
    <xf borderId="0" fillId="0" fontId="15" numFmtId="0" xfId="0" applyAlignment="1" applyFont="1">
      <alignment horizontal="left" vertical="top"/>
    </xf>
    <xf borderId="0" fillId="0" fontId="15" numFmtId="164" xfId="0" applyAlignment="1" applyFont="1" applyNumberFormat="1">
      <alignment horizontal="right" vertical="top"/>
    </xf>
    <xf borderId="4" fillId="0" fontId="11" numFmtId="170" xfId="0" applyAlignment="1" applyBorder="1" applyFont="1" applyNumberFormat="1">
      <alignment horizontal="left" shrinkToFit="1" vertical="top" wrapText="0"/>
    </xf>
    <xf borderId="4" fillId="0" fontId="16" numFmtId="1" xfId="0" applyAlignment="1" applyBorder="1" applyFont="1" applyNumberFormat="1">
      <alignment horizontal="center" shrinkToFit="1" vertical="top" wrapText="0"/>
    </xf>
    <xf borderId="4" fillId="0" fontId="17" numFmtId="0" xfId="0" applyAlignment="1" applyBorder="1" applyFont="1">
      <alignment horizontal="center" shrinkToFit="0" vertical="top" wrapText="1"/>
    </xf>
    <xf borderId="4" fillId="0" fontId="17" numFmtId="0" xfId="0" applyAlignment="1" applyBorder="1" applyFont="1">
      <alignment horizontal="left" shrinkToFit="0" vertical="top" wrapText="1"/>
    </xf>
    <xf borderId="4" fillId="0" fontId="18" numFmtId="166" xfId="0" applyAlignment="1" applyBorder="1" applyFont="1" applyNumberFormat="1">
      <alignment horizontal="center" shrinkToFit="1" vertical="top" wrapText="0"/>
    </xf>
    <xf borderId="4" fillId="0" fontId="18" numFmtId="167" xfId="0" applyAlignment="1" applyBorder="1" applyFont="1" applyNumberFormat="1">
      <alignment horizontal="center" shrinkToFit="1" vertical="top" wrapText="0"/>
    </xf>
    <xf borderId="4" fillId="0" fontId="18" numFmtId="167" xfId="0" applyAlignment="1" applyBorder="1" applyFont="1" applyNumberFormat="1">
      <alignment horizontal="left" shrinkToFit="1" vertical="top" wrapText="0"/>
    </xf>
    <xf borderId="4" fillId="0" fontId="19" numFmtId="0" xfId="0" applyAlignment="1" applyBorder="1" applyFont="1">
      <alignment horizontal="center" shrinkToFit="0" vertical="top" wrapText="1"/>
    </xf>
    <xf borderId="4" fillId="0" fontId="20" numFmtId="171" xfId="0" applyAlignment="1" applyBorder="1" applyFont="1" applyNumberFormat="1">
      <alignment horizontal="center" shrinkToFit="1" vertical="top" wrapText="0"/>
    </xf>
    <xf borderId="4" fillId="0" fontId="18" numFmtId="170" xfId="0" applyAlignment="1" applyBorder="1" applyFont="1" applyNumberFormat="1">
      <alignment horizontal="center" shrinkToFit="1" vertical="top" wrapText="0"/>
    </xf>
    <xf borderId="5" fillId="0" fontId="18" numFmtId="167" xfId="0" applyAlignment="1" applyBorder="1" applyFont="1" applyNumberFormat="1">
      <alignment horizontal="center" shrinkToFit="1" vertical="top" wrapText="0"/>
    </xf>
    <xf borderId="6" fillId="0" fontId="18" numFmtId="167" xfId="0" applyAlignment="1" applyBorder="1" applyFont="1" applyNumberFormat="1">
      <alignment horizontal="left" shrinkToFit="1" vertical="top" wrapText="0"/>
    </xf>
    <xf borderId="7" fillId="0" fontId="18" numFmtId="167" xfId="0" applyAlignment="1" applyBorder="1" applyFont="1" applyNumberFormat="1">
      <alignment horizontal="center" shrinkToFit="1" vertical="top" wrapText="0"/>
    </xf>
    <xf borderId="4" fillId="0" fontId="19" numFmtId="0" xfId="0" applyAlignment="1" applyBorder="1" applyFont="1">
      <alignment horizontal="left" shrinkToFit="0" vertical="top" wrapText="1"/>
    </xf>
    <xf borderId="4" fillId="0" fontId="20" numFmtId="168" xfId="0" applyAlignment="1" applyBorder="1" applyFont="1" applyNumberFormat="1">
      <alignment horizontal="center" shrinkToFit="1" vertical="top" wrapText="0"/>
    </xf>
    <xf borderId="8" fillId="0" fontId="6" numFmtId="0" xfId="0" applyAlignment="1" applyBorder="1" applyFont="1">
      <alignment horizontal="left" shrinkToFit="0" vertical="center" wrapText="1"/>
    </xf>
    <xf borderId="9" fillId="0" fontId="2" numFmtId="0" xfId="0" applyAlignment="1" applyBorder="1" applyFont="1">
      <alignment horizontal="left" vertical="top"/>
    </xf>
    <xf borderId="4" fillId="3" fontId="17" numFmtId="0" xfId="0" applyAlignment="1" applyBorder="1" applyFont="1">
      <alignment horizontal="center" shrinkToFit="0" vertical="top" wrapText="1"/>
    </xf>
    <xf borderId="4" fillId="3" fontId="16" numFmtId="172" xfId="0" applyAlignment="1" applyBorder="1" applyFont="1" applyNumberFormat="1">
      <alignment horizontal="center" shrinkToFit="1" vertical="top" wrapText="0"/>
    </xf>
    <xf borderId="4" fillId="3" fontId="16" numFmtId="167" xfId="0" applyAlignment="1" applyBorder="1" applyFont="1" applyNumberFormat="1">
      <alignment horizontal="center" shrinkToFit="1" vertical="top" wrapText="0"/>
    </xf>
    <xf borderId="4" fillId="3" fontId="16" numFmtId="167" xfId="0" applyAlignment="1" applyBorder="1" applyFont="1" applyNumberFormat="1">
      <alignment horizontal="left" shrinkToFit="1" vertical="top" wrapText="0"/>
    </xf>
    <xf borderId="0" fillId="0" fontId="7" numFmtId="0" xfId="0" applyAlignment="1" applyFont="1">
      <alignment horizontal="left" shrinkToFit="0" vertical="top" wrapText="1"/>
    </xf>
    <xf borderId="4" fillId="4" fontId="1" numFmtId="0" xfId="0" applyAlignment="1" applyBorder="1" applyFill="1" applyFont="1">
      <alignment horizontal="center" shrinkToFit="0" vertical="top" wrapText="1"/>
    </xf>
    <xf borderId="4" fillId="4" fontId="1" numFmtId="0" xfId="0" applyAlignment="1" applyBorder="1" applyFont="1">
      <alignment horizontal="left" shrinkToFit="0" vertical="top" wrapText="1"/>
    </xf>
    <xf borderId="4" fillId="0" fontId="21" numFmtId="1" xfId="0" applyAlignment="1" applyBorder="1" applyFont="1" applyNumberFormat="1">
      <alignment horizontal="center" shrinkToFit="1" vertical="top" wrapText="0"/>
    </xf>
    <xf borderId="4" fillId="0" fontId="1" numFmtId="0" xfId="0" applyAlignment="1" applyBorder="1" applyFont="1">
      <alignment horizontal="center" shrinkToFit="0" vertical="top" wrapText="1"/>
    </xf>
    <xf borderId="4" fillId="0" fontId="1" numFmtId="0" xfId="0" applyAlignment="1" applyBorder="1" applyFont="1">
      <alignment horizontal="left" shrinkToFit="0" vertical="top" wrapText="1"/>
    </xf>
    <xf borderId="4" fillId="0" fontId="22" numFmtId="168" xfId="0" applyAlignment="1" applyBorder="1" applyFont="1" applyNumberFormat="1">
      <alignment horizontal="center" shrinkToFit="1" vertical="top" wrapText="0"/>
    </xf>
    <xf borderId="4" fillId="0" fontId="22" numFmtId="171" xfId="0" applyAlignment="1" applyBorder="1" applyFont="1" applyNumberFormat="1">
      <alignment horizontal="center" shrinkToFit="1" vertical="top" wrapText="0"/>
    </xf>
    <xf borderId="4" fillId="4" fontId="22" numFmtId="168" xfId="0" applyAlignment="1" applyBorder="1" applyFont="1" applyNumberFormat="1">
      <alignment horizontal="center" shrinkToFit="1" vertical="top" wrapText="0"/>
    </xf>
    <xf borderId="0" fillId="0" fontId="23" numFmtId="0" xfId="0" applyAlignment="1" applyFont="1">
      <alignment horizontal="left" shrinkToFit="0" vertical="top" wrapText="1"/>
    </xf>
    <xf borderId="1" fillId="3" fontId="23" numFmtId="0" xfId="0" applyAlignment="1" applyBorder="1" applyFont="1">
      <alignment horizontal="left" shrinkToFit="0" vertical="top" wrapText="1"/>
    </xf>
    <xf borderId="4" fillId="3" fontId="23" numFmtId="0" xfId="0" applyAlignment="1" applyBorder="1" applyFont="1">
      <alignment horizontal="center" shrinkToFit="0" vertical="top" wrapText="1"/>
    </xf>
    <xf borderId="4" fillId="3" fontId="6" numFmtId="0" xfId="0" applyAlignment="1" applyBorder="1" applyFont="1">
      <alignment horizontal="left" shrinkToFit="0" vertical="center" wrapText="1"/>
    </xf>
    <xf borderId="4" fillId="3" fontId="6" numFmtId="0" xfId="0" applyAlignment="1" applyBorder="1" applyFont="1">
      <alignment horizontal="center" shrinkToFit="0" vertical="top" wrapText="1"/>
    </xf>
    <xf borderId="10" fillId="0" fontId="24" numFmtId="0" xfId="0" applyAlignment="1" applyBorder="1" applyFont="1">
      <alignment horizontal="left" shrinkToFit="0" vertical="top" wrapText="1"/>
    </xf>
    <xf borderId="8" fillId="0" fontId="2" numFmtId="0" xfId="0" applyAlignment="1" applyBorder="1" applyFont="1">
      <alignment horizontal="left" vertical="top"/>
    </xf>
    <xf borderId="11" fillId="0" fontId="6" numFmtId="0" xfId="0" applyAlignment="1" applyBorder="1" applyFont="1">
      <alignment horizontal="left" shrinkToFit="0" vertical="center" wrapText="1"/>
    </xf>
    <xf borderId="10" fillId="0" fontId="6" numFmtId="0" xfId="0" applyAlignment="1" applyBorder="1" applyFont="1">
      <alignment horizontal="left" shrinkToFit="0" vertical="top" wrapText="1"/>
    </xf>
    <xf borderId="12" fillId="0" fontId="24" numFmtId="0" xfId="0" applyAlignment="1" applyBorder="1" applyFont="1">
      <alignment horizontal="left" shrinkToFit="0" vertical="top" wrapText="1"/>
    </xf>
    <xf borderId="13" fillId="0" fontId="2" numFmtId="0" xfId="0" applyAlignment="1" applyBorder="1" applyFont="1">
      <alignment horizontal="left" vertical="top"/>
    </xf>
    <xf borderId="14" fillId="0" fontId="2" numFmtId="0" xfId="0" applyAlignment="1" applyBorder="1" applyFont="1">
      <alignment horizontal="left" vertical="top"/>
    </xf>
    <xf borderId="15" fillId="0" fontId="2" numFmtId="0" xfId="0" applyAlignment="1" applyBorder="1" applyFont="1">
      <alignment horizontal="left" vertical="top"/>
    </xf>
    <xf borderId="16" fillId="0" fontId="2" numFmtId="0" xfId="0" applyAlignment="1" applyBorder="1" applyFont="1">
      <alignment horizontal="left" vertical="top"/>
    </xf>
    <xf borderId="1" fillId="0" fontId="6" numFmtId="0" xfId="0" applyAlignment="1" applyBorder="1" applyFont="1">
      <alignment horizontal="left" shrinkToFit="0" vertical="bottom" wrapText="1"/>
    </xf>
    <xf borderId="4" fillId="0" fontId="6" numFmtId="0" xfId="0" applyAlignment="1" applyBorder="1" applyFont="1">
      <alignment horizontal="left" shrinkToFit="0" vertical="bottom" wrapText="1"/>
    </xf>
    <xf borderId="1" fillId="0" fontId="24" numFmtId="0" xfId="0" applyAlignment="1" applyBorder="1" applyFont="1">
      <alignment horizontal="left" shrinkToFit="0" vertical="top" wrapText="1"/>
    </xf>
    <xf borderId="4" fillId="0" fontId="25" numFmtId="169" xfId="0" applyAlignment="1" applyBorder="1" applyFont="1" applyNumberFormat="1">
      <alignment horizontal="center" shrinkToFit="1" vertical="top" wrapText="0"/>
    </xf>
    <xf borderId="17" fillId="0" fontId="24" numFmtId="0" xfId="0" applyAlignment="1" applyBorder="1" applyFont="1">
      <alignment horizontal="left" shrinkToFit="0" vertical="top" wrapText="1"/>
    </xf>
    <xf borderId="18" fillId="0" fontId="6" numFmtId="0" xfId="0" applyAlignment="1" applyBorder="1" applyFont="1">
      <alignment horizontal="left" shrinkToFit="0" vertical="bottom" wrapText="1"/>
    </xf>
    <xf borderId="19" fillId="0" fontId="2" numFmtId="0" xfId="0" applyAlignment="1" applyBorder="1" applyFont="1">
      <alignment horizontal="left" vertical="top"/>
    </xf>
    <xf borderId="20" fillId="0" fontId="6" numFmtId="0" xfId="0" applyAlignment="1" applyBorder="1" applyFont="1">
      <alignment horizontal="left" shrinkToFit="0" vertical="bottom" wrapText="1"/>
    </xf>
    <xf borderId="2" fillId="0" fontId="23" numFmtId="0" xfId="0" applyAlignment="1" applyBorder="1" applyFont="1">
      <alignment horizontal="left" shrinkToFit="0" vertical="top" wrapText="1"/>
    </xf>
    <xf borderId="3" fillId="0" fontId="26" numFmtId="169" xfId="0" applyAlignment="1" applyBorder="1" applyFont="1" applyNumberFormat="1">
      <alignment horizontal="center" shrinkToFit="1" vertical="top" wrapText="0"/>
    </xf>
    <xf borderId="21" fillId="5" fontId="26" numFmtId="173" xfId="0" applyAlignment="1" applyBorder="1" applyFill="1" applyFont="1" applyNumberFormat="1">
      <alignment horizontal="right" shrinkToFit="1" vertical="top" wrapText="0"/>
    </xf>
    <xf borderId="16" fillId="0" fontId="6" numFmtId="0" xfId="0" applyAlignment="1" applyBorder="1" applyFont="1">
      <alignment horizontal="left" shrinkToFit="0" vertical="top" wrapText="1"/>
    </xf>
    <xf borderId="1" fillId="0" fontId="24" numFmtId="0" xfId="0" applyAlignment="1" applyBorder="1" applyFont="1">
      <alignment horizontal="center" shrinkToFit="0" vertical="top" wrapText="1"/>
    </xf>
    <xf borderId="2" fillId="0" fontId="6" numFmtId="0" xfId="0" applyAlignment="1" applyBorder="1" applyFont="1">
      <alignment horizontal="left" shrinkToFit="0" vertical="bottom" wrapText="1"/>
    </xf>
    <xf borderId="22" fillId="5" fontId="26" numFmtId="173" xfId="0" applyAlignment="1" applyBorder="1" applyFont="1" applyNumberFormat="1">
      <alignment horizontal="right" shrinkToFit="1" vertical="top" wrapText="0"/>
    </xf>
    <xf borderId="1" fillId="3" fontId="17" numFmtId="0" xfId="0" applyAlignment="1" applyBorder="1" applyFont="1">
      <alignment horizontal="left" shrinkToFit="0" vertical="top" wrapText="1"/>
    </xf>
    <xf borderId="4" fillId="0" fontId="18" numFmtId="169" xfId="0" applyAlignment="1" applyBorder="1" applyFont="1" applyNumberFormat="1">
      <alignment horizontal="center" shrinkToFit="1" vertical="top" wrapText="0"/>
    </xf>
    <xf borderId="4" fillId="0" fontId="6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2" fillId="0" fontId="6" numFmtId="0" xfId="0" applyAlignment="1" applyBorder="1" applyFont="1">
      <alignment horizontal="left" shrinkToFit="0" vertical="center" wrapText="1"/>
    </xf>
    <xf borderId="2" fillId="0" fontId="17" numFmtId="0" xfId="0" applyAlignment="1" applyBorder="1" applyFont="1">
      <alignment horizontal="left" shrinkToFit="0" vertical="top" wrapText="1"/>
    </xf>
    <xf borderId="3" fillId="0" fontId="16" numFmtId="169" xfId="0" applyAlignment="1" applyBorder="1" applyFont="1" applyNumberFormat="1">
      <alignment horizontal="center" shrinkToFit="1" vertical="top" wrapText="0"/>
    </xf>
    <xf borderId="21" fillId="5" fontId="16" numFmtId="173" xfId="0" applyAlignment="1" applyBorder="1" applyFont="1" applyNumberFormat="1">
      <alignment horizontal="right" shrinkToFit="1" vertical="top" wrapText="0"/>
    </xf>
    <xf borderId="4" fillId="3" fontId="6" numFmtId="0" xfId="0" applyAlignment="1" applyBorder="1" applyFont="1">
      <alignment horizontal="left" shrinkToFit="0" vertical="top" wrapText="1"/>
    </xf>
    <xf borderId="4" fillId="3" fontId="17" numFmtId="0" xfId="0" applyAlignment="1" applyBorder="1" applyFont="1">
      <alignment horizontal="left" shrinkToFit="0" vertical="top" wrapText="1"/>
    </xf>
    <xf borderId="4" fillId="0" fontId="18" numFmtId="169" xfId="0" applyAlignment="1" applyBorder="1" applyFont="1" applyNumberFormat="1">
      <alignment horizontal="left" shrinkToFit="1" vertical="top" wrapText="0"/>
    </xf>
    <xf borderId="1" fillId="0" fontId="19" numFmtId="0" xfId="0" applyAlignment="1" applyBorder="1" applyFont="1">
      <alignment horizontal="left" shrinkToFit="0" vertical="top" wrapText="1"/>
    </xf>
    <xf borderId="4" fillId="0" fontId="27" numFmtId="0" xfId="0" applyAlignment="1" applyBorder="1" applyFont="1">
      <alignment horizontal="left" shrinkToFit="0" vertical="top" wrapText="1"/>
    </xf>
    <xf borderId="23" fillId="6" fontId="6" numFmtId="0" xfId="0" applyAlignment="1" applyBorder="1" applyFill="1" applyFont="1">
      <alignment horizontal="left" shrinkToFit="0" vertical="center" wrapText="1"/>
    </xf>
    <xf borderId="23" fillId="6" fontId="17" numFmtId="0" xfId="0" applyAlignment="1" applyBorder="1" applyFont="1">
      <alignment horizontal="left" shrinkToFit="0" vertical="top" wrapText="1"/>
    </xf>
    <xf borderId="23" fillId="6" fontId="16" numFmtId="169" xfId="0" applyAlignment="1" applyBorder="1" applyFont="1" applyNumberFormat="1">
      <alignment horizontal="center" shrinkToFit="1" vertical="top" wrapText="0"/>
    </xf>
    <xf borderId="23" fillId="6" fontId="16" numFmtId="169" xfId="0" applyAlignment="1" applyBorder="1" applyFont="1" applyNumberFormat="1">
      <alignment horizontal="left" shrinkToFit="1" vertical="top" wrapText="0"/>
    </xf>
    <xf borderId="24" fillId="6" fontId="16" numFmtId="169" xfId="0" applyAlignment="1" applyBorder="1" applyFont="1" applyNumberFormat="1">
      <alignment horizontal="center" shrinkToFit="1" vertical="top" wrapText="0"/>
    </xf>
    <xf borderId="0" fillId="0" fontId="6" numFmtId="0" xfId="0" applyAlignment="1" applyFont="1">
      <alignment horizontal="left" shrinkToFit="0" vertical="center" wrapText="1"/>
    </xf>
    <xf borderId="25" fillId="6" fontId="17" numFmtId="0" xfId="0" applyAlignment="1" applyBorder="1" applyFont="1">
      <alignment horizontal="left" shrinkToFit="0" vertical="top" wrapText="1"/>
    </xf>
    <xf borderId="26" fillId="0" fontId="2" numFmtId="0" xfId="0" applyAlignment="1" applyBorder="1" applyFont="1">
      <alignment horizontal="left" vertical="top"/>
    </xf>
    <xf borderId="27" fillId="0" fontId="2" numFmtId="0" xfId="0" applyAlignment="1" applyBorder="1" applyFont="1">
      <alignment horizontal="left" vertical="top"/>
    </xf>
    <xf borderId="4" fillId="7" fontId="16" numFmtId="169" xfId="0" applyAlignment="1" applyBorder="1" applyFill="1" applyFont="1" applyNumberFormat="1">
      <alignment horizontal="center" shrinkToFit="1" vertical="top" wrapText="0"/>
    </xf>
    <xf borderId="22" fillId="5" fontId="16" numFmtId="173" xfId="0" applyAlignment="1" applyBorder="1" applyFont="1" applyNumberFormat="1">
      <alignment horizontal="right" shrinkToFit="1" vertical="top" wrapText="0"/>
    </xf>
    <xf borderId="1" fillId="3" fontId="17" numFmtId="0" xfId="0" applyAlignment="1" applyBorder="1" applyFont="1">
      <alignment horizontal="center" shrinkToFit="0" vertical="top" wrapText="1"/>
    </xf>
    <xf borderId="1" fillId="6" fontId="17" numFmtId="0" xfId="0" applyAlignment="1" applyBorder="1" applyFont="1">
      <alignment horizontal="left" shrinkToFit="0" vertical="top" wrapText="1"/>
    </xf>
    <xf borderId="1" fillId="6" fontId="16" numFmtId="169" xfId="0" applyAlignment="1" applyBorder="1" applyFont="1" applyNumberFormat="1">
      <alignment horizontal="left" shrinkToFit="1" vertical="top" wrapText="0"/>
    </xf>
    <xf borderId="1" fillId="0" fontId="18" numFmtId="169" xfId="0" applyAlignment="1" applyBorder="1" applyFont="1" applyNumberFormat="1">
      <alignment horizontal="left" shrinkToFit="1" vertical="top" wrapText="0"/>
    </xf>
    <xf borderId="1" fillId="0" fontId="19" numFmtId="0" xfId="0" applyAlignment="1" applyBorder="1" applyFont="1">
      <alignment horizontal="center" shrinkToFit="0" vertical="top" wrapText="1"/>
    </xf>
    <xf borderId="3" fillId="0" fontId="20" numFmtId="174" xfId="0" applyAlignment="1" applyBorder="1" applyFont="1" applyNumberFormat="1">
      <alignment horizontal="right" shrinkToFit="1" vertical="top" wrapText="0"/>
    </xf>
    <xf borderId="10" fillId="6" fontId="17" numFmtId="0" xfId="0" applyAlignment="1" applyBorder="1" applyFont="1">
      <alignment horizontal="left" shrinkToFit="0" vertical="top" wrapText="1"/>
    </xf>
    <xf borderId="10" fillId="6" fontId="16" numFmtId="169" xfId="0" applyAlignment="1" applyBorder="1" applyFont="1" applyNumberFormat="1">
      <alignment horizontal="left" shrinkToFit="1" vertical="top" wrapText="0"/>
    </xf>
    <xf borderId="0" fillId="0" fontId="17" numFmtId="0" xfId="0" applyAlignment="1" applyFont="1">
      <alignment horizontal="center" shrinkToFit="0" vertical="top" wrapText="1"/>
    </xf>
    <xf borderId="12" fillId="8" fontId="17" numFmtId="0" xfId="0" applyAlignment="1" applyBorder="1" applyFill="1" applyFont="1">
      <alignment horizontal="center" shrinkToFit="0" vertical="top" wrapText="1"/>
    </xf>
    <xf borderId="4" fillId="9" fontId="17" numFmtId="0" xfId="0" applyAlignment="1" applyBorder="1" applyFill="1" applyFont="1">
      <alignment horizontal="center" shrinkToFit="0" vertical="top" wrapText="1"/>
    </xf>
    <xf borderId="1" fillId="9" fontId="17" numFmtId="0" xfId="0" applyAlignment="1" applyBorder="1" applyFont="1">
      <alignment horizontal="center" shrinkToFit="0" vertical="top" wrapText="1"/>
    </xf>
    <xf borderId="4" fillId="9" fontId="17" numFmtId="0" xfId="0" applyAlignment="1" applyBorder="1" applyFont="1">
      <alignment horizontal="left" shrinkToFit="0" vertical="top" wrapText="1"/>
    </xf>
    <xf borderId="11" fillId="9" fontId="17" numFmtId="0" xfId="0" applyAlignment="1" applyBorder="1" applyFont="1">
      <alignment horizontal="left" shrinkToFit="0" vertical="top" wrapText="1"/>
    </xf>
    <xf borderId="10" fillId="9" fontId="17" numFmtId="0" xfId="0" applyAlignment="1" applyBorder="1" applyFont="1">
      <alignment horizontal="left" shrinkToFit="0" vertical="top" wrapText="1"/>
    </xf>
    <xf borderId="1" fillId="5" fontId="17" numFmtId="0" xfId="0" applyAlignment="1" applyBorder="1" applyFont="1">
      <alignment horizontal="left" shrinkToFit="0" vertical="top" wrapText="1"/>
    </xf>
    <xf borderId="4" fillId="5" fontId="16" numFmtId="167" xfId="0" applyAlignment="1" applyBorder="1" applyFont="1" applyNumberFormat="1">
      <alignment horizontal="left" shrinkToFit="1" vertical="top" wrapText="0"/>
    </xf>
    <xf borderId="12" fillId="0" fontId="2" numFmtId="0" xfId="0" applyAlignment="1" applyBorder="1" applyFont="1">
      <alignment horizontal="left" vertical="top"/>
    </xf>
    <xf borderId="4" fillId="10" fontId="28" numFmtId="175" xfId="0" applyAlignment="1" applyBorder="1" applyFill="1" applyFont="1" applyNumberFormat="1">
      <alignment horizontal="left" shrinkToFit="0" vertical="top" wrapText="1"/>
    </xf>
    <xf borderId="0" fillId="0" fontId="15" numFmtId="0" xfId="0" applyAlignment="1" applyFont="1">
      <alignment horizontal="left" readingOrder="0" vertical="top"/>
    </xf>
    <xf borderId="28" fillId="0" fontId="2" numFmtId="0" xfId="0" applyAlignment="1" applyBorder="1" applyFont="1">
      <alignment horizontal="left" vertical="top"/>
    </xf>
    <xf borderId="4" fillId="0" fontId="20" numFmtId="168" xfId="0" applyAlignment="1" applyBorder="1" applyFont="1" applyNumberFormat="1">
      <alignment horizontal="left" shrinkToFit="1" vertical="top" wrapText="0"/>
    </xf>
    <xf borderId="1" fillId="0" fontId="18" numFmtId="176" xfId="0" applyAlignment="1" applyBorder="1" applyFont="1" applyNumberFormat="1">
      <alignment horizontal="center" shrinkToFit="1" vertical="top" wrapText="0"/>
    </xf>
    <xf borderId="0" fillId="0" fontId="29" numFmtId="0" xfId="0" applyAlignment="1" applyFont="1">
      <alignment horizontal="left" readingOrder="0" vertical="top"/>
    </xf>
    <xf borderId="11" fillId="9" fontId="17" numFmtId="0" xfId="0" applyAlignment="1" applyBorder="1" applyFont="1">
      <alignment horizontal="left" shrinkToFit="0" vertical="center" wrapText="1"/>
    </xf>
    <xf borderId="5" fillId="9" fontId="16" numFmtId="167" xfId="0" applyAlignment="1" applyBorder="1" applyFont="1" applyNumberFormat="1">
      <alignment horizontal="left" shrinkToFit="1" vertical="top" wrapText="0"/>
    </xf>
    <xf borderId="4" fillId="9" fontId="30" numFmtId="168" xfId="0" applyAlignment="1" applyBorder="1" applyFont="1" applyNumberFormat="1">
      <alignment horizontal="left" shrinkToFit="1" vertical="top" wrapText="0"/>
    </xf>
    <xf borderId="10" fillId="0" fontId="6" numFmtId="0" xfId="0" applyAlignment="1" applyBorder="1" applyFont="1">
      <alignment horizontal="left" shrinkToFit="0" vertical="bottom" wrapText="1"/>
    </xf>
    <xf borderId="29" fillId="0" fontId="2" numFmtId="0" xfId="0" applyAlignment="1" applyBorder="1" applyFont="1">
      <alignment horizontal="left" vertical="top"/>
    </xf>
    <xf borderId="4" fillId="11" fontId="17" numFmtId="0" xfId="0" applyAlignment="1" applyBorder="1" applyFill="1" applyFont="1">
      <alignment horizontal="left" shrinkToFit="0" vertical="top" wrapText="1"/>
    </xf>
    <xf borderId="1" fillId="11" fontId="16" numFmtId="167" xfId="0" applyAlignment="1" applyBorder="1" applyFont="1" applyNumberFormat="1">
      <alignment horizontal="left" shrinkToFit="1" vertical="top" wrapText="0"/>
    </xf>
    <xf borderId="16" fillId="0" fontId="6" numFmtId="0" xfId="0" applyAlignment="1" applyBorder="1" applyFont="1">
      <alignment horizontal="left" shrinkToFit="0" vertical="bottom" wrapText="1"/>
    </xf>
    <xf borderId="0" fillId="0" fontId="31" numFmtId="0" xfId="0" applyAlignment="1" applyFont="1">
      <alignment horizontal="left" readingOrder="0" vertical="top"/>
    </xf>
    <xf borderId="1" fillId="12" fontId="32" numFmtId="0" xfId="0" applyAlignment="1" applyBorder="1" applyFill="1" applyFont="1">
      <alignment horizontal="center" shrinkToFit="0" vertical="top" wrapText="1"/>
    </xf>
    <xf borderId="1" fillId="0" fontId="1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52</xdr:row>
      <xdr:rowOff>152400</xdr:rowOff>
    </xdr:from>
    <xdr:ext cx="38100" cy="38100"/>
    <xdr:sp>
      <xdr:nvSpPr>
        <xdr:cNvPr id="3" name="Shape 3"/>
        <xdr:cNvSpPr/>
      </xdr:nvSpPr>
      <xdr:spPr>
        <a:xfrm>
          <a:off x="5333618" y="3758410"/>
          <a:ext cx="24765" cy="43180"/>
        </a:xfrm>
        <a:custGeom>
          <a:rect b="b" l="l" r="r" t="t"/>
          <a:pathLst>
            <a:path extrusionOk="0" h="43180" w="24765">
              <a:moveTo>
                <a:pt x="24257" y="0"/>
              </a:moveTo>
              <a:lnTo>
                <a:pt x="0" y="0"/>
              </a:lnTo>
              <a:lnTo>
                <a:pt x="0" y="5346"/>
              </a:lnTo>
              <a:lnTo>
                <a:pt x="0" y="10693"/>
              </a:lnTo>
              <a:lnTo>
                <a:pt x="0" y="42976"/>
              </a:lnTo>
              <a:lnTo>
                <a:pt x="5397" y="42976"/>
              </a:lnTo>
              <a:lnTo>
                <a:pt x="5397" y="37630"/>
              </a:lnTo>
              <a:lnTo>
                <a:pt x="8089" y="37630"/>
              </a:lnTo>
              <a:lnTo>
                <a:pt x="8089" y="32283"/>
              </a:lnTo>
              <a:lnTo>
                <a:pt x="10782" y="32283"/>
              </a:lnTo>
              <a:lnTo>
                <a:pt x="10782" y="26936"/>
              </a:lnTo>
              <a:lnTo>
                <a:pt x="13474" y="26936"/>
              </a:lnTo>
              <a:lnTo>
                <a:pt x="13474" y="21590"/>
              </a:lnTo>
              <a:lnTo>
                <a:pt x="16179" y="21590"/>
              </a:lnTo>
              <a:lnTo>
                <a:pt x="16179" y="16040"/>
              </a:lnTo>
              <a:lnTo>
                <a:pt x="18872" y="16040"/>
              </a:lnTo>
              <a:lnTo>
                <a:pt x="18872" y="10693"/>
              </a:lnTo>
              <a:lnTo>
                <a:pt x="21564" y="10693"/>
              </a:lnTo>
              <a:lnTo>
                <a:pt x="21564" y="5346"/>
              </a:lnTo>
              <a:lnTo>
                <a:pt x="24257" y="5346"/>
              </a:lnTo>
              <a:lnTo>
                <a:pt x="24257" y="0"/>
              </a:lnTo>
              <a:close/>
            </a:path>
          </a:pathLst>
        </a:custGeom>
        <a:solidFill>
          <a:srgbClr val="008000"/>
        </a:solidFill>
        <a:ln>
          <a:noFill/>
        </a:ln>
      </xdr:spPr>
    </xdr:sp>
    <xdr:clientData fLocksWithSheet="0"/>
  </xdr:oneCellAnchor>
  <xdr:oneCellAnchor>
    <xdr:from>
      <xdr:col>6</xdr:col>
      <xdr:colOff>0</xdr:colOff>
      <xdr:row>52</xdr:row>
      <xdr:rowOff>152400</xdr:rowOff>
    </xdr:from>
    <xdr:ext cx="38100" cy="38100"/>
    <xdr:sp>
      <xdr:nvSpPr>
        <xdr:cNvPr id="4" name="Shape 4"/>
        <xdr:cNvSpPr/>
      </xdr:nvSpPr>
      <xdr:spPr>
        <a:xfrm>
          <a:off x="5333618" y="3758410"/>
          <a:ext cx="24765" cy="43180"/>
        </a:xfrm>
        <a:custGeom>
          <a:rect b="b" l="l" r="r" t="t"/>
          <a:pathLst>
            <a:path extrusionOk="0" h="43180" w="24765">
              <a:moveTo>
                <a:pt x="24269" y="0"/>
              </a:moveTo>
              <a:lnTo>
                <a:pt x="0" y="0"/>
              </a:lnTo>
              <a:lnTo>
                <a:pt x="0" y="5346"/>
              </a:lnTo>
              <a:lnTo>
                <a:pt x="0" y="10693"/>
              </a:lnTo>
              <a:lnTo>
                <a:pt x="0" y="42976"/>
              </a:lnTo>
              <a:lnTo>
                <a:pt x="5397" y="42976"/>
              </a:lnTo>
              <a:lnTo>
                <a:pt x="5397" y="37630"/>
              </a:lnTo>
              <a:lnTo>
                <a:pt x="8089" y="37630"/>
              </a:lnTo>
              <a:lnTo>
                <a:pt x="8089" y="32283"/>
              </a:lnTo>
              <a:lnTo>
                <a:pt x="10782" y="32283"/>
              </a:lnTo>
              <a:lnTo>
                <a:pt x="10782" y="26936"/>
              </a:lnTo>
              <a:lnTo>
                <a:pt x="13487" y="26936"/>
              </a:lnTo>
              <a:lnTo>
                <a:pt x="13487" y="21590"/>
              </a:lnTo>
              <a:lnTo>
                <a:pt x="16179" y="21590"/>
              </a:lnTo>
              <a:lnTo>
                <a:pt x="16179" y="16040"/>
              </a:lnTo>
              <a:lnTo>
                <a:pt x="18872" y="16040"/>
              </a:lnTo>
              <a:lnTo>
                <a:pt x="18872" y="10693"/>
              </a:lnTo>
              <a:lnTo>
                <a:pt x="21564" y="10693"/>
              </a:lnTo>
              <a:lnTo>
                <a:pt x="21564" y="5346"/>
              </a:lnTo>
              <a:lnTo>
                <a:pt x="24269" y="5346"/>
              </a:lnTo>
              <a:lnTo>
                <a:pt x="24269" y="0"/>
              </a:lnTo>
              <a:close/>
            </a:path>
          </a:pathLst>
        </a:custGeom>
        <a:solidFill>
          <a:srgbClr val="008000">
            <a:alpha val="50196"/>
          </a:srgbClr>
        </a:solidFill>
        <a:ln>
          <a:noFill/>
        </a:ln>
      </xdr:spPr>
    </xdr:sp>
    <xdr:clientData fLocksWithSheet="0"/>
  </xdr:oneCellAnchor>
  <xdr:oneCellAnchor>
    <xdr:from>
      <xdr:col>13</xdr:col>
      <xdr:colOff>219075</xdr:colOff>
      <xdr:row>2</xdr:row>
      <xdr:rowOff>57150</xdr:rowOff>
    </xdr:from>
    <xdr:ext cx="800100" cy="942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dyfadmconsorcios@gmail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1.71"/>
    <col customWidth="1" min="10" max="10" width="8.0"/>
    <col customWidth="1" min="11" max="11" width="6.86"/>
    <col customWidth="1" min="12" max="12" width="8.29"/>
    <col customWidth="1" min="13" max="13" width="9.71"/>
    <col customWidth="1" min="14" max="14" width="7.57"/>
    <col customWidth="1" min="15" max="15" width="6.29"/>
    <col customWidth="1" min="16" max="16" width="8.0"/>
    <col customWidth="1" min="17" max="17" width="0.86"/>
    <col customWidth="1" min="18" max="18" width="4.86"/>
    <col customWidth="1" min="19" max="26" width="8.71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3"/>
    </row>
    <row r="2" ht="12.75" customHeight="1">
      <c r="A2" s="5" t="s">
        <v>2</v>
      </c>
    </row>
    <row r="3" ht="82.5" customHeight="1">
      <c r="A3" s="11" t="s">
        <v>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 ht="33.0" customHeight="1">
      <c r="A4" s="12" t="s">
        <v>15</v>
      </c>
    </row>
    <row r="5" ht="42.0" customHeight="1">
      <c r="A5" s="13" t="s">
        <v>16</v>
      </c>
      <c r="B5" s="13" t="s">
        <v>17</v>
      </c>
      <c r="C5" s="14" t="s">
        <v>19</v>
      </c>
      <c r="D5" s="13" t="s">
        <v>20</v>
      </c>
      <c r="E5" s="18" t="s">
        <v>22</v>
      </c>
      <c r="F5" s="13" t="s">
        <v>23</v>
      </c>
      <c r="G5" s="14" t="s">
        <v>24</v>
      </c>
    </row>
    <row r="6" ht="15.0" customHeight="1">
      <c r="A6" s="20">
        <v>1.0</v>
      </c>
      <c r="B6" s="21" t="s">
        <v>25</v>
      </c>
      <c r="C6" s="22" t="s">
        <v>27</v>
      </c>
      <c r="D6" s="23">
        <v>0.0156</v>
      </c>
      <c r="E6" s="24">
        <v>353035.0</v>
      </c>
      <c r="F6" s="24">
        <v>350050.0</v>
      </c>
      <c r="G6" s="25">
        <v>2985.0</v>
      </c>
    </row>
    <row r="7" ht="15.0" customHeight="1">
      <c r="A7" s="20">
        <v>2.0</v>
      </c>
      <c r="B7" s="21" t="s">
        <v>31</v>
      </c>
      <c r="C7" s="22" t="s">
        <v>32</v>
      </c>
      <c r="D7" s="23">
        <v>0.0107</v>
      </c>
      <c r="E7" s="24">
        <v>251585.0</v>
      </c>
      <c r="F7" s="24">
        <v>251585.0</v>
      </c>
      <c r="G7" s="26" t="s">
        <v>33</v>
      </c>
    </row>
    <row r="8" ht="15.0" customHeight="1">
      <c r="A8" s="20">
        <v>3.0</v>
      </c>
      <c r="B8" s="21" t="s">
        <v>34</v>
      </c>
      <c r="C8" s="22" t="s">
        <v>35</v>
      </c>
      <c r="D8" s="23">
        <v>0.0103</v>
      </c>
      <c r="E8" s="24">
        <v>243304.0</v>
      </c>
      <c r="F8" s="24">
        <v>243304.0</v>
      </c>
      <c r="G8" s="26" t="s">
        <v>36</v>
      </c>
    </row>
    <row r="9" ht="15.0" customHeight="1">
      <c r="A9" s="20">
        <v>4.0</v>
      </c>
      <c r="B9" s="21" t="s">
        <v>38</v>
      </c>
      <c r="C9" s="22" t="s">
        <v>40</v>
      </c>
      <c r="D9" s="23">
        <v>0.0103</v>
      </c>
      <c r="E9" s="24">
        <v>243304.0</v>
      </c>
      <c r="F9" s="24">
        <v>243304.0</v>
      </c>
      <c r="G9" s="26" t="s">
        <v>41</v>
      </c>
    </row>
    <row r="10" ht="15.0" customHeight="1">
      <c r="A10" s="20">
        <v>5.0</v>
      </c>
      <c r="B10" s="21" t="s">
        <v>42</v>
      </c>
      <c r="C10" s="22" t="s">
        <v>43</v>
      </c>
      <c r="D10" s="23">
        <v>0.0114</v>
      </c>
      <c r="E10" s="24">
        <v>266078.0</v>
      </c>
      <c r="F10" s="24">
        <v>266078.0</v>
      </c>
      <c r="G10" s="26" t="s">
        <v>45</v>
      </c>
    </row>
    <row r="11" ht="15.0" customHeight="1">
      <c r="A11" s="20">
        <v>6.0</v>
      </c>
      <c r="B11" s="21" t="s">
        <v>46</v>
      </c>
      <c r="C11" s="22" t="s">
        <v>47</v>
      </c>
      <c r="D11" s="23">
        <v>0.0172</v>
      </c>
      <c r="E11" s="24">
        <v>386161.0</v>
      </c>
      <c r="F11" s="24">
        <v>386161.0</v>
      </c>
      <c r="G11" s="26" t="s">
        <v>49</v>
      </c>
    </row>
    <row r="12" ht="15.0" customHeight="1">
      <c r="A12" s="20">
        <v>7.0</v>
      </c>
      <c r="B12" s="21" t="s">
        <v>50</v>
      </c>
      <c r="C12" s="22" t="s">
        <v>51</v>
      </c>
      <c r="D12" s="23">
        <v>0.016</v>
      </c>
      <c r="E12" s="24">
        <v>654057.0</v>
      </c>
      <c r="F12" s="27" t="s">
        <v>52</v>
      </c>
      <c r="G12" s="25">
        <v>654057.0</v>
      </c>
    </row>
    <row r="13" ht="15.0" customHeight="1">
      <c r="A13" s="20">
        <v>8.0</v>
      </c>
      <c r="B13" s="21" t="s">
        <v>54</v>
      </c>
      <c r="C13" s="22" t="s">
        <v>56</v>
      </c>
      <c r="D13" s="23">
        <v>0.0109</v>
      </c>
      <c r="E13" s="24">
        <v>255726.0</v>
      </c>
      <c r="F13" s="24">
        <v>255726.0</v>
      </c>
      <c r="G13" s="26" t="s">
        <v>57</v>
      </c>
    </row>
    <row r="14" ht="15.0" customHeight="1">
      <c r="A14" s="20">
        <v>9.0</v>
      </c>
      <c r="B14" s="21" t="s">
        <v>58</v>
      </c>
      <c r="C14" s="22" t="s">
        <v>60</v>
      </c>
      <c r="D14" s="23">
        <v>0.0103</v>
      </c>
      <c r="E14" s="24">
        <v>243304.0</v>
      </c>
      <c r="F14" s="24">
        <v>243304.0</v>
      </c>
      <c r="G14" s="26" t="s">
        <v>62</v>
      </c>
    </row>
    <row r="15" ht="15.0" customHeight="1">
      <c r="A15" s="20">
        <v>10.0</v>
      </c>
      <c r="B15" s="21" t="s">
        <v>63</v>
      </c>
      <c r="C15" s="22" t="s">
        <v>65</v>
      </c>
      <c r="D15" s="23">
        <v>0.0102</v>
      </c>
      <c r="E15" s="24">
        <v>241233.0</v>
      </c>
      <c r="F15" s="24">
        <v>241233.0</v>
      </c>
      <c r="G15" s="26" t="s">
        <v>66</v>
      </c>
    </row>
    <row r="16" ht="15.0" customHeight="1">
      <c r="A16" s="20">
        <v>11.0</v>
      </c>
      <c r="B16" s="21" t="s">
        <v>69</v>
      </c>
      <c r="C16" s="22" t="s">
        <v>70</v>
      </c>
      <c r="D16" s="23">
        <v>0.0107</v>
      </c>
      <c r="E16" s="24">
        <v>251585.0</v>
      </c>
      <c r="F16" s="24">
        <v>251585.0</v>
      </c>
      <c r="G16" s="26" t="s">
        <v>71</v>
      </c>
    </row>
    <row r="17" ht="15.0" customHeight="1">
      <c r="A17" s="20">
        <v>12.0</v>
      </c>
      <c r="B17" s="21" t="s">
        <v>73</v>
      </c>
      <c r="C17" s="22" t="s">
        <v>75</v>
      </c>
      <c r="D17" s="23">
        <v>0.0155</v>
      </c>
      <c r="E17" s="24">
        <v>350964.0</v>
      </c>
      <c r="F17" s="24">
        <v>350964.0</v>
      </c>
      <c r="G17" s="26" t="s">
        <v>76</v>
      </c>
    </row>
    <row r="18" ht="15.0" customHeight="1">
      <c r="A18" s="20">
        <v>13.0</v>
      </c>
      <c r="B18" s="21" t="s">
        <v>78</v>
      </c>
      <c r="C18" s="22" t="s">
        <v>80</v>
      </c>
      <c r="D18" s="23">
        <v>0.0159</v>
      </c>
      <c r="E18" s="24">
        <v>359246.0</v>
      </c>
      <c r="F18" s="24">
        <v>359246.0</v>
      </c>
      <c r="G18" s="26" t="s">
        <v>81</v>
      </c>
    </row>
    <row r="19" ht="15.0" customHeight="1">
      <c r="A19" s="20">
        <v>14.0</v>
      </c>
      <c r="B19" s="21" t="s">
        <v>82</v>
      </c>
      <c r="C19" s="22" t="s">
        <v>83</v>
      </c>
      <c r="D19" s="23">
        <v>0.0107</v>
      </c>
      <c r="E19" s="24">
        <v>251621.0</v>
      </c>
      <c r="F19" s="24">
        <v>251621.0</v>
      </c>
      <c r="G19" s="26" t="s">
        <v>84</v>
      </c>
    </row>
    <row r="20" ht="15.0" customHeight="1">
      <c r="A20" s="20">
        <v>15.0</v>
      </c>
      <c r="B20" s="21" t="s">
        <v>85</v>
      </c>
      <c r="C20" s="22" t="s">
        <v>87</v>
      </c>
      <c r="D20" s="23">
        <v>0.0102</v>
      </c>
      <c r="E20" s="24">
        <v>241233.0</v>
      </c>
      <c r="F20" s="24">
        <v>241233.0</v>
      </c>
      <c r="G20" s="26" t="s">
        <v>88</v>
      </c>
    </row>
    <row r="21" ht="15.0" customHeight="1">
      <c r="A21" s="20">
        <v>16.0</v>
      </c>
      <c r="B21" s="21" t="s">
        <v>91</v>
      </c>
      <c r="C21" s="22" t="s">
        <v>93</v>
      </c>
      <c r="D21" s="23">
        <v>0.0103</v>
      </c>
      <c r="E21" s="24">
        <v>243304.0</v>
      </c>
      <c r="F21" s="24">
        <v>243304.0</v>
      </c>
      <c r="G21" s="26" t="s">
        <v>96</v>
      </c>
    </row>
    <row r="22" ht="15.0" customHeight="1">
      <c r="A22" s="20">
        <v>17.0</v>
      </c>
      <c r="B22" s="21" t="s">
        <v>100</v>
      </c>
      <c r="C22" s="22" t="s">
        <v>101</v>
      </c>
      <c r="D22" s="23">
        <v>0.0125</v>
      </c>
      <c r="E22" s="24">
        <v>509762.0</v>
      </c>
      <c r="F22" s="24">
        <v>509762.0</v>
      </c>
      <c r="G22" s="26" t="s">
        <v>104</v>
      </c>
    </row>
    <row r="23" ht="15.0" customHeight="1">
      <c r="A23" s="20">
        <v>18.0</v>
      </c>
      <c r="B23" s="21" t="s">
        <v>106</v>
      </c>
      <c r="C23" s="22" t="s">
        <v>107</v>
      </c>
      <c r="D23" s="23">
        <v>0.0155</v>
      </c>
      <c r="E23" s="24">
        <v>350964.0</v>
      </c>
      <c r="F23" s="24">
        <v>350964.0</v>
      </c>
      <c r="G23" s="26" t="s">
        <v>110</v>
      </c>
    </row>
    <row r="24" ht="15.0" customHeight="1">
      <c r="A24" s="20">
        <v>19.0</v>
      </c>
      <c r="B24" s="21" t="s">
        <v>112</v>
      </c>
      <c r="C24" s="22" t="s">
        <v>113</v>
      </c>
      <c r="D24" s="23">
        <v>0.0171</v>
      </c>
      <c r="E24" s="24">
        <v>384091.0</v>
      </c>
      <c r="F24" s="24">
        <v>384091.0</v>
      </c>
      <c r="G24" s="26" t="s">
        <v>115</v>
      </c>
    </row>
    <row r="25" ht="15.0" customHeight="1">
      <c r="A25" s="20">
        <v>20.0</v>
      </c>
      <c r="B25" s="21" t="s">
        <v>119</v>
      </c>
      <c r="C25" s="22" t="s">
        <v>120</v>
      </c>
      <c r="D25" s="23">
        <v>0.0107</v>
      </c>
      <c r="E25" s="24">
        <v>251585.0</v>
      </c>
      <c r="F25" s="24">
        <v>251585.0</v>
      </c>
      <c r="G25" s="26" t="s">
        <v>124</v>
      </c>
    </row>
    <row r="26" ht="15.0" customHeight="1">
      <c r="A26" s="20">
        <v>21.0</v>
      </c>
      <c r="B26" s="21" t="s">
        <v>126</v>
      </c>
      <c r="C26" s="22" t="s">
        <v>127</v>
      </c>
      <c r="D26" s="23">
        <v>0.0119</v>
      </c>
      <c r="E26" s="24">
        <v>276430.0</v>
      </c>
      <c r="F26" s="27" t="s">
        <v>129</v>
      </c>
      <c r="G26" s="25">
        <v>276430.0</v>
      </c>
    </row>
    <row r="27" ht="15.0" customHeight="1">
      <c r="A27" s="20">
        <v>22.0</v>
      </c>
      <c r="B27" s="21" t="s">
        <v>131</v>
      </c>
      <c r="C27" s="22" t="s">
        <v>132</v>
      </c>
      <c r="D27" s="23">
        <v>0.0119</v>
      </c>
      <c r="E27" s="24">
        <v>276430.0</v>
      </c>
      <c r="F27" s="24">
        <v>276430.0</v>
      </c>
      <c r="G27" s="26" t="s">
        <v>133</v>
      </c>
    </row>
    <row r="28" ht="15.0" customHeight="1">
      <c r="A28" s="20">
        <v>23.0</v>
      </c>
      <c r="B28" s="21" t="s">
        <v>134</v>
      </c>
      <c r="C28" s="22" t="s">
        <v>135</v>
      </c>
      <c r="D28" s="23">
        <v>0.0124</v>
      </c>
      <c r="E28" s="24">
        <v>286782.0</v>
      </c>
      <c r="F28" s="24">
        <v>286782.0</v>
      </c>
      <c r="G28" s="26" t="s">
        <v>136</v>
      </c>
    </row>
    <row r="29" ht="15.0" customHeight="1">
      <c r="A29" s="20">
        <v>24.0</v>
      </c>
      <c r="B29" s="21" t="s">
        <v>137</v>
      </c>
      <c r="C29" s="22" t="s">
        <v>138</v>
      </c>
      <c r="D29" s="23">
        <v>0.0156</v>
      </c>
      <c r="E29" s="24">
        <v>353035.0</v>
      </c>
      <c r="F29" s="24">
        <v>353035.0</v>
      </c>
      <c r="G29" s="26" t="s">
        <v>139</v>
      </c>
    </row>
    <row r="30" ht="15.0" customHeight="1">
      <c r="A30" s="20">
        <v>25.0</v>
      </c>
      <c r="B30" s="21" t="s">
        <v>140</v>
      </c>
      <c r="C30" s="22" t="s">
        <v>141</v>
      </c>
      <c r="D30" s="23">
        <v>0.0156</v>
      </c>
      <c r="E30" s="24">
        <v>353035.0</v>
      </c>
      <c r="F30" s="24">
        <v>353100.0</v>
      </c>
      <c r="G30" s="36">
        <v>-65.0</v>
      </c>
    </row>
    <row r="31" ht="15.0" customHeight="1">
      <c r="A31" s="20">
        <v>26.0</v>
      </c>
      <c r="B31" s="21" t="s">
        <v>142</v>
      </c>
      <c r="C31" s="22" t="s">
        <v>143</v>
      </c>
      <c r="D31" s="23">
        <v>0.0108</v>
      </c>
      <c r="E31" s="24">
        <v>231086.0</v>
      </c>
      <c r="F31" s="24">
        <v>137318.0</v>
      </c>
      <c r="G31" s="25">
        <v>93768.0</v>
      </c>
    </row>
    <row r="32" ht="15.0" customHeight="1">
      <c r="A32" s="20">
        <v>27.0</v>
      </c>
      <c r="B32" s="21" t="s">
        <v>144</v>
      </c>
      <c r="C32" s="22" t="s">
        <v>145</v>
      </c>
      <c r="D32" s="23">
        <v>0.0102</v>
      </c>
      <c r="E32" s="24">
        <v>241233.0</v>
      </c>
      <c r="F32" s="24">
        <v>241233.0</v>
      </c>
      <c r="G32" s="26" t="s">
        <v>146</v>
      </c>
    </row>
    <row r="33" ht="15.0" customHeight="1">
      <c r="A33" s="20">
        <v>28.0</v>
      </c>
      <c r="B33" s="21" t="s">
        <v>147</v>
      </c>
      <c r="C33" s="22" t="s">
        <v>148</v>
      </c>
      <c r="D33" s="23">
        <v>0.0102</v>
      </c>
      <c r="E33" s="24">
        <v>241233.0</v>
      </c>
      <c r="F33" s="24">
        <v>241233.0</v>
      </c>
      <c r="G33" s="26" t="s">
        <v>149</v>
      </c>
    </row>
    <row r="34" ht="15.0" customHeight="1">
      <c r="A34" s="20">
        <v>29.0</v>
      </c>
      <c r="B34" s="21" t="s">
        <v>150</v>
      </c>
      <c r="C34" s="22" t="s">
        <v>151</v>
      </c>
      <c r="D34" s="23">
        <v>0.0112</v>
      </c>
      <c r="E34" s="24">
        <v>261937.0</v>
      </c>
      <c r="F34" s="24">
        <v>261937.0</v>
      </c>
      <c r="G34" s="26" t="s">
        <v>152</v>
      </c>
    </row>
    <row r="35" ht="15.0" customHeight="1">
      <c r="A35" s="20">
        <v>30.0</v>
      </c>
      <c r="B35" s="21" t="s">
        <v>153</v>
      </c>
      <c r="C35" s="22" t="s">
        <v>154</v>
      </c>
      <c r="D35" s="23">
        <v>0.0175</v>
      </c>
      <c r="E35" s="24">
        <v>392372.0</v>
      </c>
      <c r="F35" s="24">
        <v>392372.0</v>
      </c>
      <c r="G35" s="26" t="s">
        <v>155</v>
      </c>
    </row>
    <row r="36" ht="15.0" customHeight="1">
      <c r="A36" s="20">
        <v>31.0</v>
      </c>
      <c r="B36" s="21" t="s">
        <v>156</v>
      </c>
      <c r="C36" s="22" t="s">
        <v>157</v>
      </c>
      <c r="D36" s="23">
        <v>0.0227</v>
      </c>
      <c r="E36" s="24">
        <v>500033.0</v>
      </c>
      <c r="F36" s="24">
        <v>500033.0</v>
      </c>
      <c r="G36" s="26" t="s">
        <v>158</v>
      </c>
    </row>
    <row r="37" ht="15.0" customHeight="1">
      <c r="A37" s="20">
        <v>32.0</v>
      </c>
      <c r="B37" s="21" t="s">
        <v>159</v>
      </c>
      <c r="C37" s="22" t="s">
        <v>160</v>
      </c>
      <c r="D37" s="23">
        <v>0.0123</v>
      </c>
      <c r="E37" s="24">
        <v>284712.0</v>
      </c>
      <c r="F37" s="24">
        <v>284712.0</v>
      </c>
      <c r="G37" s="26" t="s">
        <v>161</v>
      </c>
    </row>
    <row r="38" ht="15.0" customHeight="1">
      <c r="A38" s="20">
        <v>33.0</v>
      </c>
      <c r="B38" s="21" t="s">
        <v>162</v>
      </c>
      <c r="C38" s="22" t="s">
        <v>163</v>
      </c>
      <c r="D38" s="23">
        <v>0.0118</v>
      </c>
      <c r="E38" s="24">
        <v>274360.0</v>
      </c>
      <c r="F38" s="24">
        <v>274360.0</v>
      </c>
      <c r="G38" s="26" t="s">
        <v>164</v>
      </c>
    </row>
    <row r="39" ht="15.0" customHeight="1">
      <c r="A39" s="20">
        <v>34.0</v>
      </c>
      <c r="B39" s="21" t="s">
        <v>165</v>
      </c>
      <c r="C39" s="22" t="s">
        <v>166</v>
      </c>
      <c r="D39" s="23">
        <v>0.0139</v>
      </c>
      <c r="E39" s="24">
        <v>317839.0</v>
      </c>
      <c r="F39" s="27" t="s">
        <v>167</v>
      </c>
      <c r="G39" s="25">
        <v>317839.0</v>
      </c>
    </row>
    <row r="40" ht="15.0" customHeight="1">
      <c r="A40" s="20">
        <v>35.0</v>
      </c>
      <c r="B40" s="21" t="s">
        <v>168</v>
      </c>
      <c r="C40" s="22" t="s">
        <v>169</v>
      </c>
      <c r="D40" s="23">
        <v>0.0123</v>
      </c>
      <c r="E40" s="24">
        <v>284712.0</v>
      </c>
      <c r="F40" s="24">
        <v>284712.0</v>
      </c>
      <c r="G40" s="26" t="s">
        <v>170</v>
      </c>
    </row>
    <row r="41" ht="13.5" customHeight="1">
      <c r="A41" s="37">
        <v>36.0</v>
      </c>
      <c r="B41" s="38" t="s">
        <v>171</v>
      </c>
      <c r="C41" s="39" t="s">
        <v>172</v>
      </c>
      <c r="D41" s="40">
        <v>0.0157</v>
      </c>
      <c r="E41" s="41">
        <v>355105.0</v>
      </c>
      <c r="F41" s="42">
        <v>355105.0</v>
      </c>
      <c r="G41" s="43" t="s">
        <v>173</v>
      </c>
    </row>
    <row r="42" ht="13.5" customHeight="1">
      <c r="A42" s="37">
        <v>37.0</v>
      </c>
      <c r="B42" s="38" t="s">
        <v>174</v>
      </c>
      <c r="C42" s="39" t="s">
        <v>175</v>
      </c>
      <c r="D42" s="40">
        <v>0.0155</v>
      </c>
      <c r="E42" s="41">
        <v>350964.0</v>
      </c>
      <c r="F42" s="42">
        <v>350964.0</v>
      </c>
      <c r="G42" s="43" t="s">
        <v>176</v>
      </c>
    </row>
    <row r="43" ht="13.5" customHeight="1">
      <c r="A43" s="37">
        <v>38.0</v>
      </c>
      <c r="B43" s="38" t="s">
        <v>177</v>
      </c>
      <c r="C43" s="39" t="s">
        <v>178</v>
      </c>
      <c r="D43" s="40">
        <v>0.0114</v>
      </c>
      <c r="E43" s="41">
        <v>266078.0</v>
      </c>
      <c r="F43" s="42">
        <v>266078.0</v>
      </c>
      <c r="G43" s="43" t="s">
        <v>179</v>
      </c>
    </row>
    <row r="44" ht="13.5" customHeight="1">
      <c r="A44" s="37">
        <v>39.0</v>
      </c>
      <c r="B44" s="38" t="s">
        <v>180</v>
      </c>
      <c r="C44" s="39" t="s">
        <v>181</v>
      </c>
      <c r="D44" s="40">
        <v>0.0103</v>
      </c>
      <c r="E44" s="41">
        <v>243304.0</v>
      </c>
      <c r="F44" s="42">
        <v>243304.0</v>
      </c>
      <c r="G44" s="43" t="s">
        <v>182</v>
      </c>
    </row>
    <row r="45" ht="13.5" customHeight="1">
      <c r="A45" s="37">
        <v>40.0</v>
      </c>
      <c r="B45" s="38" t="s">
        <v>183</v>
      </c>
      <c r="C45" s="39" t="s">
        <v>184</v>
      </c>
      <c r="D45" s="40">
        <v>0.0106</v>
      </c>
      <c r="E45" s="41">
        <v>249515.0</v>
      </c>
      <c r="F45" s="42">
        <v>249515.0</v>
      </c>
      <c r="G45" s="43" t="s">
        <v>185</v>
      </c>
    </row>
    <row r="46" ht="13.5" customHeight="1">
      <c r="A46" s="37">
        <v>41.0</v>
      </c>
      <c r="B46" s="38" t="s">
        <v>186</v>
      </c>
      <c r="C46" s="39" t="s">
        <v>187</v>
      </c>
      <c r="D46" s="40">
        <v>0.0108</v>
      </c>
      <c r="E46" s="41">
        <v>448907.0</v>
      </c>
      <c r="F46" s="42">
        <v>448507.0</v>
      </c>
      <c r="G46" s="44">
        <v>400.0</v>
      </c>
    </row>
    <row r="47" ht="13.5" customHeight="1">
      <c r="A47" s="37">
        <v>42.0</v>
      </c>
      <c r="B47" s="38" t="s">
        <v>188</v>
      </c>
      <c r="C47" s="39" t="s">
        <v>189</v>
      </c>
      <c r="D47" s="40">
        <v>0.0161</v>
      </c>
      <c r="E47" s="41">
        <v>363387.0</v>
      </c>
      <c r="F47" s="42">
        <v>363387.0</v>
      </c>
      <c r="G47" s="43" t="s">
        <v>190</v>
      </c>
    </row>
    <row r="48" ht="13.5" customHeight="1">
      <c r="A48" s="37">
        <v>43.0</v>
      </c>
      <c r="B48" s="38" t="s">
        <v>191</v>
      </c>
      <c r="C48" s="39" t="s">
        <v>192</v>
      </c>
      <c r="D48" s="40">
        <v>0.0192</v>
      </c>
      <c r="E48" s="41">
        <v>426616.0</v>
      </c>
      <c r="F48" s="42">
        <v>427000.0</v>
      </c>
      <c r="G48" s="45">
        <v>-384.0</v>
      </c>
    </row>
    <row r="49" ht="13.5" customHeight="1">
      <c r="A49" s="37">
        <v>44.0</v>
      </c>
      <c r="B49" s="38" t="s">
        <v>193</v>
      </c>
      <c r="C49" s="39" t="s">
        <v>194</v>
      </c>
      <c r="D49" s="40">
        <v>0.0123</v>
      </c>
      <c r="E49" s="41">
        <v>284712.0</v>
      </c>
      <c r="F49" s="42">
        <v>284712.0</v>
      </c>
      <c r="G49" s="43" t="s">
        <v>195</v>
      </c>
    </row>
    <row r="50" ht="13.5" customHeight="1">
      <c r="A50" s="37">
        <v>45.0</v>
      </c>
      <c r="B50" s="38" t="s">
        <v>196</v>
      </c>
      <c r="C50" s="39" t="s">
        <v>197</v>
      </c>
      <c r="D50" s="40">
        <v>0.0108</v>
      </c>
      <c r="E50" s="41">
        <v>253656.0</v>
      </c>
      <c r="F50" s="42">
        <v>253656.0</v>
      </c>
      <c r="G50" s="43" t="s">
        <v>198</v>
      </c>
    </row>
    <row r="51" ht="13.5" customHeight="1">
      <c r="A51" s="37">
        <v>46.0</v>
      </c>
      <c r="B51" s="38" t="s">
        <v>199</v>
      </c>
      <c r="C51" s="39" t="s">
        <v>200</v>
      </c>
      <c r="D51" s="40">
        <v>0.0119</v>
      </c>
      <c r="E51" s="41">
        <v>276430.0</v>
      </c>
      <c r="F51" s="42">
        <v>276430.0</v>
      </c>
      <c r="G51" s="43" t="s">
        <v>201</v>
      </c>
    </row>
    <row r="52" ht="13.5" customHeight="1">
      <c r="A52" s="37">
        <v>47.0</v>
      </c>
      <c r="B52" s="38" t="s">
        <v>202</v>
      </c>
      <c r="C52" s="39" t="s">
        <v>203</v>
      </c>
      <c r="D52" s="40">
        <v>0.0138</v>
      </c>
      <c r="E52" s="41">
        <v>781902.0</v>
      </c>
      <c r="F52" s="42">
        <v>781902.0</v>
      </c>
      <c r="G52" s="43" t="s">
        <v>204</v>
      </c>
    </row>
    <row r="53" ht="13.5" customHeight="1">
      <c r="A53" s="37">
        <v>48.0</v>
      </c>
      <c r="B53" s="38" t="s">
        <v>205</v>
      </c>
      <c r="C53" s="39" t="s">
        <v>206</v>
      </c>
      <c r="D53" s="40">
        <v>0.0155</v>
      </c>
      <c r="E53" s="41">
        <v>350964.0</v>
      </c>
      <c r="F53" s="42">
        <v>350964.0</v>
      </c>
      <c r="G53" s="43" t="s">
        <v>207</v>
      </c>
    </row>
    <row r="54" ht="13.5" customHeight="1">
      <c r="A54" s="37">
        <v>49.0</v>
      </c>
      <c r="B54" s="38" t="s">
        <v>208</v>
      </c>
      <c r="C54" s="39" t="s">
        <v>209</v>
      </c>
      <c r="D54" s="40">
        <v>0.0191</v>
      </c>
      <c r="E54" s="46">
        <v>360498.0</v>
      </c>
      <c r="F54" s="47">
        <v>390498.0</v>
      </c>
      <c r="G54" s="48">
        <v>-2030000.0</v>
      </c>
    </row>
    <row r="55" ht="13.5" customHeight="1">
      <c r="A55" s="37">
        <v>50.0</v>
      </c>
      <c r="B55" s="38" t="s">
        <v>210</v>
      </c>
      <c r="C55" s="39" t="s">
        <v>211</v>
      </c>
      <c r="D55" s="40">
        <v>0.0117</v>
      </c>
      <c r="E55" s="41">
        <v>272289.0</v>
      </c>
      <c r="F55" s="42">
        <v>272289.0</v>
      </c>
      <c r="G55" s="43" t="s">
        <v>212</v>
      </c>
    </row>
    <row r="56" ht="13.5" customHeight="1">
      <c r="A56" s="37">
        <v>51.0</v>
      </c>
      <c r="B56" s="38" t="s">
        <v>213</v>
      </c>
      <c r="C56" s="39" t="s">
        <v>214</v>
      </c>
      <c r="D56" s="40">
        <v>0.0117</v>
      </c>
      <c r="E56" s="41">
        <v>271622.0</v>
      </c>
      <c r="F56" s="42">
        <v>272000.0</v>
      </c>
      <c r="G56" s="45">
        <v>-378.0</v>
      </c>
    </row>
    <row r="57" ht="13.5" customHeight="1">
      <c r="A57" s="37">
        <v>52.0</v>
      </c>
      <c r="B57" s="38" t="s">
        <v>215</v>
      </c>
      <c r="C57" s="39" t="s">
        <v>216</v>
      </c>
      <c r="D57" s="40">
        <v>0.0197</v>
      </c>
      <c r="E57" s="41">
        <v>437921.0</v>
      </c>
      <c r="F57" s="42">
        <v>437921.0</v>
      </c>
      <c r="G57" s="43" t="s">
        <v>217</v>
      </c>
    </row>
    <row r="58" ht="13.5" customHeight="1">
      <c r="A58" s="37">
        <v>53.0</v>
      </c>
      <c r="B58" s="38" t="s">
        <v>218</v>
      </c>
      <c r="C58" s="39" t="s">
        <v>219</v>
      </c>
      <c r="D58" s="40">
        <v>0.0186</v>
      </c>
      <c r="E58" s="41">
        <v>415147.0</v>
      </c>
      <c r="F58" s="42">
        <v>415147.0</v>
      </c>
      <c r="G58" s="43" t="s">
        <v>220</v>
      </c>
    </row>
    <row r="59" ht="13.5" customHeight="1">
      <c r="A59" s="37">
        <v>54.0</v>
      </c>
      <c r="B59" s="38" t="s">
        <v>221</v>
      </c>
      <c r="C59" s="39" t="s">
        <v>222</v>
      </c>
      <c r="D59" s="40">
        <v>0.0102</v>
      </c>
      <c r="E59" s="41">
        <v>241233.0</v>
      </c>
      <c r="F59" s="49" t="s">
        <v>223</v>
      </c>
      <c r="G59" s="50">
        <v>241233.0</v>
      </c>
    </row>
    <row r="60" ht="13.5" customHeight="1">
      <c r="A60" s="37">
        <v>55.0</v>
      </c>
      <c r="B60" s="38" t="s">
        <v>224</v>
      </c>
      <c r="C60" s="39" t="s">
        <v>225</v>
      </c>
      <c r="D60" s="40">
        <v>0.0102</v>
      </c>
      <c r="E60" s="41">
        <v>241233.0</v>
      </c>
      <c r="F60" s="42">
        <v>241233.0</v>
      </c>
      <c r="G60" s="43" t="s">
        <v>226</v>
      </c>
    </row>
    <row r="61" ht="13.5" customHeight="1">
      <c r="A61" s="37">
        <v>56.0</v>
      </c>
      <c r="B61" s="38" t="s">
        <v>227</v>
      </c>
      <c r="C61" s="39" t="s">
        <v>228</v>
      </c>
      <c r="D61" s="40">
        <v>0.0172</v>
      </c>
      <c r="E61" s="41">
        <v>386161.0</v>
      </c>
      <c r="F61" s="42">
        <v>386161.0</v>
      </c>
      <c r="G61" s="43" t="s">
        <v>229</v>
      </c>
    </row>
    <row r="62" ht="13.5" customHeight="1">
      <c r="A62" s="37">
        <v>57.0</v>
      </c>
      <c r="B62" s="38" t="s">
        <v>230</v>
      </c>
      <c r="C62" s="39" t="s">
        <v>231</v>
      </c>
      <c r="D62" s="40">
        <v>0.0193</v>
      </c>
      <c r="E62" s="41">
        <v>429639.0</v>
      </c>
      <c r="F62" s="42">
        <v>429639.0</v>
      </c>
      <c r="G62" s="43" t="s">
        <v>232</v>
      </c>
    </row>
    <row r="63" ht="13.5" customHeight="1">
      <c r="A63" s="37">
        <v>58.0</v>
      </c>
      <c r="B63" s="38" t="s">
        <v>233</v>
      </c>
      <c r="C63" s="39" t="s">
        <v>234</v>
      </c>
      <c r="D63" s="40">
        <v>0.0105</v>
      </c>
      <c r="E63" s="41">
        <v>247445.0</v>
      </c>
      <c r="F63" s="42">
        <v>247445.0</v>
      </c>
      <c r="G63" s="43" t="s">
        <v>235</v>
      </c>
    </row>
    <row r="64" ht="13.5" customHeight="1">
      <c r="A64" s="37">
        <v>59.0</v>
      </c>
      <c r="B64" s="38" t="s">
        <v>236</v>
      </c>
      <c r="C64" s="39" t="s">
        <v>237</v>
      </c>
      <c r="D64" s="40">
        <v>0.0103</v>
      </c>
      <c r="E64" s="41">
        <v>243304.0</v>
      </c>
      <c r="F64" s="42">
        <v>243304.0</v>
      </c>
      <c r="G64" s="43" t="s">
        <v>238</v>
      </c>
    </row>
    <row r="65" ht="13.5" customHeight="1">
      <c r="A65" s="37">
        <v>60.0</v>
      </c>
      <c r="B65" s="38" t="s">
        <v>239</v>
      </c>
      <c r="C65" s="39" t="s">
        <v>240</v>
      </c>
      <c r="D65" s="40">
        <v>0.0186</v>
      </c>
      <c r="E65" s="41">
        <v>1591606.0</v>
      </c>
      <c r="F65" s="42">
        <v>415147.0</v>
      </c>
      <c r="G65" s="50">
        <v>1176459.0</v>
      </c>
    </row>
    <row r="66" ht="13.5" customHeight="1">
      <c r="A66" s="37">
        <v>61.0</v>
      </c>
      <c r="B66" s="38" t="s">
        <v>241</v>
      </c>
      <c r="C66" s="39" t="s">
        <v>242</v>
      </c>
      <c r="D66" s="40">
        <v>0.0176</v>
      </c>
      <c r="E66" s="41">
        <v>394443.0</v>
      </c>
      <c r="F66" s="42">
        <v>394443.0</v>
      </c>
      <c r="G66" s="43" t="s">
        <v>243</v>
      </c>
    </row>
    <row r="67" ht="13.5" customHeight="1">
      <c r="A67" s="37">
        <v>62.0</v>
      </c>
      <c r="B67" s="38" t="s">
        <v>244</v>
      </c>
      <c r="C67" s="39" t="s">
        <v>245</v>
      </c>
      <c r="D67" s="40">
        <v>0.0103</v>
      </c>
      <c r="E67" s="41">
        <v>243304.0</v>
      </c>
      <c r="F67" s="42">
        <v>243304.0</v>
      </c>
      <c r="G67" s="43" t="s">
        <v>246</v>
      </c>
    </row>
    <row r="68" ht="13.5" customHeight="1">
      <c r="A68" s="37">
        <v>63.0</v>
      </c>
      <c r="B68" s="38" t="s">
        <v>247</v>
      </c>
      <c r="C68" s="39" t="s">
        <v>248</v>
      </c>
      <c r="D68" s="40">
        <v>0.0102</v>
      </c>
      <c r="E68" s="41">
        <v>241233.0</v>
      </c>
      <c r="F68" s="42">
        <v>241233.0</v>
      </c>
      <c r="G68" s="43" t="s">
        <v>249</v>
      </c>
    </row>
    <row r="69" ht="13.5" customHeight="1">
      <c r="A69" s="37">
        <v>64.0</v>
      </c>
      <c r="B69" s="38" t="s">
        <v>250</v>
      </c>
      <c r="C69" s="39" t="s">
        <v>251</v>
      </c>
      <c r="D69" s="40">
        <v>0.0193</v>
      </c>
      <c r="E69" s="41">
        <v>429639.0</v>
      </c>
      <c r="F69" s="42">
        <v>429639.0</v>
      </c>
      <c r="G69" s="43" t="s">
        <v>252</v>
      </c>
    </row>
    <row r="70" ht="13.5" customHeight="1">
      <c r="A70" s="37">
        <v>65.0</v>
      </c>
      <c r="B70" s="38" t="s">
        <v>253</v>
      </c>
      <c r="C70" s="39" t="s">
        <v>254</v>
      </c>
      <c r="D70" s="40">
        <v>0.0173</v>
      </c>
      <c r="E70" s="41">
        <v>388232.0</v>
      </c>
      <c r="F70" s="42">
        <v>388232.0</v>
      </c>
      <c r="G70" s="43" t="s">
        <v>255</v>
      </c>
    </row>
    <row r="71" ht="13.5" customHeight="1">
      <c r="A71" s="37">
        <v>66.0</v>
      </c>
      <c r="B71" s="38" t="s">
        <v>256</v>
      </c>
      <c r="C71" s="39" t="s">
        <v>257</v>
      </c>
      <c r="D71" s="40">
        <v>0.0102</v>
      </c>
      <c r="E71" s="41">
        <v>241233.0</v>
      </c>
      <c r="F71" s="42">
        <v>241233.0</v>
      </c>
      <c r="G71" s="43" t="s">
        <v>258</v>
      </c>
    </row>
    <row r="72" ht="13.5" customHeight="1">
      <c r="A72" s="37">
        <v>67.0</v>
      </c>
      <c r="B72" s="38" t="s">
        <v>259</v>
      </c>
      <c r="C72" s="39" t="s">
        <v>260</v>
      </c>
      <c r="D72" s="40">
        <v>0.0102</v>
      </c>
      <c r="E72" s="41">
        <v>241233.0</v>
      </c>
      <c r="F72" s="42">
        <v>241233.0</v>
      </c>
      <c r="G72" s="43" t="s">
        <v>261</v>
      </c>
    </row>
    <row r="73" ht="13.5" customHeight="1">
      <c r="A73" s="37">
        <v>68.0</v>
      </c>
      <c r="B73" s="38" t="s">
        <v>262</v>
      </c>
      <c r="C73" s="39" t="s">
        <v>263</v>
      </c>
      <c r="D73" s="40">
        <v>0.0169</v>
      </c>
      <c r="E73" s="41">
        <v>379950.0</v>
      </c>
      <c r="F73" s="42">
        <v>379950.0</v>
      </c>
      <c r="G73" s="43" t="s">
        <v>264</v>
      </c>
    </row>
    <row r="74" ht="13.5" customHeight="1">
      <c r="A74" s="37">
        <v>69.0</v>
      </c>
      <c r="B74" s="38" t="s">
        <v>265</v>
      </c>
      <c r="C74" s="39" t="s">
        <v>266</v>
      </c>
      <c r="D74" s="40">
        <v>0.0413</v>
      </c>
      <c r="E74" s="41">
        <v>885127.0</v>
      </c>
      <c r="F74" s="42">
        <v>885127.0</v>
      </c>
      <c r="G74" s="43" t="s">
        <v>267</v>
      </c>
    </row>
    <row r="75" ht="13.5" customHeight="1">
      <c r="A75" s="37">
        <v>70.0</v>
      </c>
      <c r="B75" s="38" t="s">
        <v>268</v>
      </c>
      <c r="C75" s="39" t="s">
        <v>269</v>
      </c>
      <c r="D75" s="40">
        <v>0.0413</v>
      </c>
      <c r="E75" s="41">
        <v>885126.0</v>
      </c>
      <c r="F75" s="42">
        <v>885126.0</v>
      </c>
      <c r="G75" s="43" t="s">
        <v>270</v>
      </c>
    </row>
    <row r="76" ht="13.5" customHeight="1">
      <c r="A76" s="51"/>
      <c r="B76" s="52"/>
      <c r="C76" s="53" t="s">
        <v>271</v>
      </c>
      <c r="D76" s="54">
        <v>0.9979</v>
      </c>
      <c r="E76" s="55">
        <v>2.5026535E7</v>
      </c>
      <c r="F76" s="56">
        <v>2.229419E7</v>
      </c>
      <c r="G76" s="55">
        <v>732345.0</v>
      </c>
    </row>
    <row r="77" ht="15.75" customHeight="1"/>
    <row r="78" ht="15.75" customHeight="1"/>
    <row r="79" ht="15.75" customHeight="1">
      <c r="A79" s="57" t="s">
        <v>272</v>
      </c>
    </row>
    <row r="80" ht="15.75" customHeight="1">
      <c r="A80" s="58" t="s">
        <v>273</v>
      </c>
      <c r="B80" s="58" t="s">
        <v>274</v>
      </c>
      <c r="C80" s="59" t="s">
        <v>275</v>
      </c>
      <c r="D80" s="58" t="s">
        <v>276</v>
      </c>
    </row>
    <row r="81" ht="15.75" customHeight="1">
      <c r="A81" s="60">
        <v>7.0</v>
      </c>
      <c r="B81" s="61" t="s">
        <v>277</v>
      </c>
      <c r="C81" s="62" t="s">
        <v>278</v>
      </c>
      <c r="D81" s="63">
        <v>292741.0</v>
      </c>
    </row>
    <row r="82" ht="15.75" customHeight="1">
      <c r="A82" s="60">
        <v>14.0</v>
      </c>
      <c r="B82" s="61" t="s">
        <v>279</v>
      </c>
      <c r="C82" s="62" t="s">
        <v>280</v>
      </c>
      <c r="D82" s="64">
        <v>35.0</v>
      </c>
    </row>
    <row r="83" ht="15.75" customHeight="1">
      <c r="A83" s="60">
        <v>17.0</v>
      </c>
      <c r="B83" s="61" t="s">
        <v>281</v>
      </c>
      <c r="C83" s="62" t="s">
        <v>282</v>
      </c>
      <c r="D83" s="63">
        <v>220909.0</v>
      </c>
    </row>
    <row r="84" ht="15.75" customHeight="1">
      <c r="A84" s="60">
        <v>41.0</v>
      </c>
      <c r="B84" s="61" t="s">
        <v>283</v>
      </c>
      <c r="C84" s="62" t="s">
        <v>284</v>
      </c>
      <c r="D84" s="63">
        <v>195251.0</v>
      </c>
    </row>
    <row r="85" ht="15.75" customHeight="1">
      <c r="A85" s="60">
        <v>47.0</v>
      </c>
      <c r="B85" s="61" t="s">
        <v>285</v>
      </c>
      <c r="C85" s="62" t="s">
        <v>286</v>
      </c>
      <c r="D85" s="63">
        <v>466135.0</v>
      </c>
    </row>
    <row r="86" ht="15.75" customHeight="1">
      <c r="A86" s="60">
        <v>60.0</v>
      </c>
      <c r="B86" s="61" t="s">
        <v>287</v>
      </c>
      <c r="C86" s="62" t="s">
        <v>288</v>
      </c>
      <c r="D86" s="63">
        <v>1176460.0</v>
      </c>
    </row>
    <row r="87" ht="15.75" customHeight="1">
      <c r="A87" s="51"/>
      <c r="B87" s="52"/>
      <c r="C87" s="58" t="s">
        <v>289</v>
      </c>
      <c r="D87" s="65">
        <v>2351531.0</v>
      </c>
    </row>
    <row r="88" ht="15.75" customHeight="1"/>
    <row r="89" ht="15.75" customHeight="1"/>
    <row r="90" ht="15.75" customHeight="1">
      <c r="A90" s="66" t="s">
        <v>290</v>
      </c>
    </row>
    <row r="91" ht="15.75" customHeight="1">
      <c r="A91" s="67" t="s">
        <v>291</v>
      </c>
      <c r="B91" s="2"/>
      <c r="C91" s="2"/>
      <c r="D91" s="3"/>
      <c r="E91" s="68" t="s">
        <v>292</v>
      </c>
      <c r="F91" s="69"/>
      <c r="G91" s="69"/>
      <c r="H91" s="69"/>
      <c r="I91" s="70" t="s">
        <v>293</v>
      </c>
    </row>
    <row r="92" ht="15.75" customHeight="1">
      <c r="A92" s="71" t="s">
        <v>294</v>
      </c>
      <c r="B92" s="72"/>
      <c r="C92" s="72"/>
      <c r="D92" s="52"/>
      <c r="E92" s="73"/>
      <c r="F92" s="73"/>
      <c r="G92" s="73"/>
      <c r="H92" s="73"/>
      <c r="I92" s="74"/>
    </row>
    <row r="93" ht="15.75" customHeight="1">
      <c r="A93" s="75" t="s">
        <v>295</v>
      </c>
      <c r="B93" s="76"/>
      <c r="C93" s="76"/>
      <c r="D93" s="77"/>
      <c r="E93" s="78"/>
      <c r="F93" s="78"/>
      <c r="G93" s="78"/>
      <c r="H93" s="78"/>
      <c r="I93" s="79"/>
    </row>
    <row r="94" ht="15.75" customHeight="1">
      <c r="A94" s="80"/>
      <c r="B94" s="3"/>
      <c r="C94" s="80"/>
      <c r="D94" s="3"/>
      <c r="E94" s="81"/>
      <c r="F94" s="81"/>
      <c r="G94" s="81"/>
      <c r="H94" s="81"/>
      <c r="I94" s="79"/>
    </row>
    <row r="95" ht="15.75" customHeight="1">
      <c r="A95" s="82" t="s">
        <v>296</v>
      </c>
      <c r="B95" s="3"/>
      <c r="C95" s="83">
        <v>906864.19</v>
      </c>
      <c r="D95" s="81"/>
      <c r="E95" s="81"/>
      <c r="F95" s="81"/>
      <c r="G95" s="81"/>
      <c r="H95" s="81"/>
      <c r="I95" s="79"/>
    </row>
    <row r="96" ht="15.75" customHeight="1">
      <c r="A96" s="82" t="s">
        <v>297</v>
      </c>
      <c r="B96" s="3"/>
      <c r="C96" s="83">
        <v>224902.8</v>
      </c>
      <c r="D96" s="81"/>
      <c r="E96" s="81"/>
      <c r="F96" s="81"/>
      <c r="G96" s="81"/>
      <c r="H96" s="81"/>
      <c r="I96" s="79"/>
    </row>
    <row r="97" ht="15.75" customHeight="1">
      <c r="A97" s="82" t="s">
        <v>298</v>
      </c>
      <c r="B97" s="3"/>
      <c r="C97" s="83">
        <v>120000.0</v>
      </c>
      <c r="D97" s="81"/>
      <c r="E97" s="81"/>
      <c r="F97" s="81"/>
      <c r="G97" s="81"/>
      <c r="H97" s="81"/>
      <c r="I97" s="79"/>
    </row>
    <row r="98" ht="15.75" customHeight="1">
      <c r="A98" s="82" t="s">
        <v>299</v>
      </c>
      <c r="B98" s="3"/>
      <c r="C98" s="83">
        <v>37483.72</v>
      </c>
      <c r="D98" s="81"/>
      <c r="E98" s="81"/>
      <c r="F98" s="81"/>
      <c r="G98" s="81"/>
      <c r="H98" s="81"/>
      <c r="I98" s="79"/>
    </row>
    <row r="99" ht="15.75" customHeight="1">
      <c r="A99" s="82" t="s">
        <v>300</v>
      </c>
      <c r="B99" s="3"/>
      <c r="C99" s="83">
        <v>120820.0</v>
      </c>
      <c r="D99" s="81"/>
      <c r="E99" s="81"/>
      <c r="F99" s="81"/>
      <c r="G99" s="81"/>
      <c r="H99" s="81"/>
      <c r="I99" s="79"/>
    </row>
    <row r="100" ht="15.75" customHeight="1">
      <c r="A100" s="82" t="s">
        <v>301</v>
      </c>
      <c r="B100" s="3"/>
      <c r="C100" s="83">
        <v>23553.4</v>
      </c>
      <c r="D100" s="81"/>
      <c r="E100" s="81"/>
      <c r="F100" s="81"/>
      <c r="G100" s="81"/>
      <c r="H100" s="81"/>
      <c r="I100" s="79"/>
    </row>
    <row r="101" ht="15.75" customHeight="1">
      <c r="A101" s="82" t="s">
        <v>302</v>
      </c>
      <c r="B101" s="3"/>
      <c r="C101" s="83">
        <v>23553.4</v>
      </c>
      <c r="D101" s="81"/>
      <c r="E101" s="81"/>
      <c r="F101" s="81"/>
      <c r="G101" s="81"/>
      <c r="H101" s="81"/>
      <c r="I101" s="79"/>
    </row>
    <row r="102" ht="15.75" customHeight="1">
      <c r="A102" s="82" t="s">
        <v>303</v>
      </c>
      <c r="B102" s="3"/>
      <c r="C102" s="83">
        <v>65596.5</v>
      </c>
      <c r="D102" s="81"/>
      <c r="E102" s="81"/>
      <c r="F102" s="81"/>
      <c r="G102" s="81"/>
      <c r="H102" s="81"/>
      <c r="I102" s="79"/>
    </row>
    <row r="103" ht="15.75" customHeight="1">
      <c r="A103" s="82" t="s">
        <v>304</v>
      </c>
      <c r="B103" s="3"/>
      <c r="C103" s="81"/>
      <c r="D103" s="83">
        <v>167505.14</v>
      </c>
      <c r="E103" s="81"/>
      <c r="F103" s="81"/>
      <c r="G103" s="81"/>
      <c r="H103" s="81"/>
      <c r="I103" s="79"/>
    </row>
    <row r="104" ht="15.75" customHeight="1">
      <c r="A104" s="84" t="s">
        <v>305</v>
      </c>
      <c r="B104" s="85"/>
      <c r="C104" s="81"/>
      <c r="D104" s="83">
        <v>45683.22</v>
      </c>
      <c r="E104" s="81"/>
      <c r="F104" s="81"/>
      <c r="G104" s="81"/>
      <c r="H104" s="81"/>
      <c r="I104" s="79"/>
    </row>
    <row r="105" ht="15.75" customHeight="1">
      <c r="A105" s="82" t="s">
        <v>306</v>
      </c>
      <c r="B105" s="3"/>
      <c r="C105" s="81"/>
      <c r="D105" s="83">
        <v>45683.22</v>
      </c>
      <c r="E105" s="81"/>
      <c r="F105" s="81"/>
      <c r="G105" s="81"/>
      <c r="H105" s="81"/>
      <c r="I105" s="79"/>
    </row>
    <row r="106" ht="15.75" customHeight="1">
      <c r="A106" s="82" t="s">
        <v>307</v>
      </c>
      <c r="B106" s="3"/>
      <c r="C106" s="81"/>
      <c r="D106" s="83">
        <v>15227.74</v>
      </c>
      <c r="E106" s="81"/>
      <c r="F106" s="81"/>
      <c r="G106" s="81"/>
      <c r="H106" s="81"/>
      <c r="I106" s="79"/>
    </row>
    <row r="107" ht="15.75" customHeight="1">
      <c r="A107" s="82" t="s">
        <v>308</v>
      </c>
      <c r="B107" s="3"/>
      <c r="C107" s="81"/>
      <c r="D107" s="83">
        <v>15227.74</v>
      </c>
      <c r="E107" s="81"/>
      <c r="F107" s="81"/>
      <c r="G107" s="81"/>
      <c r="H107" s="81"/>
      <c r="I107" s="79"/>
    </row>
    <row r="108" ht="15.75" customHeight="1">
      <c r="A108" s="82" t="s">
        <v>309</v>
      </c>
      <c r="B108" s="3"/>
      <c r="C108" s="81"/>
      <c r="D108" s="83">
        <v>30455.48</v>
      </c>
      <c r="E108" s="81"/>
      <c r="F108" s="81"/>
      <c r="G108" s="81"/>
      <c r="H108" s="81"/>
      <c r="I108" s="79"/>
    </row>
    <row r="109" ht="15.75" customHeight="1">
      <c r="A109" s="82" t="s">
        <v>310</v>
      </c>
      <c r="B109" s="3"/>
      <c r="C109" s="81"/>
      <c r="D109" s="83">
        <v>11420.81</v>
      </c>
      <c r="E109" s="81"/>
      <c r="F109" s="81"/>
      <c r="G109" s="81"/>
      <c r="H109" s="81"/>
      <c r="I109" s="79"/>
    </row>
    <row r="110" ht="15.75" customHeight="1">
      <c r="A110" s="82" t="s">
        <v>311</v>
      </c>
      <c r="B110" s="3"/>
      <c r="C110" s="83">
        <v>1522774.01</v>
      </c>
      <c r="D110" s="83">
        <v>331203.35</v>
      </c>
      <c r="E110" s="83">
        <v>1191570.66</v>
      </c>
      <c r="F110" s="81"/>
      <c r="G110" s="81"/>
      <c r="H110" s="81"/>
      <c r="I110" s="79"/>
    </row>
    <row r="111" ht="15.75" customHeight="1">
      <c r="A111" s="80"/>
      <c r="B111" s="2"/>
      <c r="C111" s="2"/>
      <c r="D111" s="3"/>
      <c r="E111" s="81"/>
      <c r="F111" s="81"/>
      <c r="G111" s="81"/>
      <c r="H111" s="81"/>
      <c r="I111" s="79"/>
    </row>
    <row r="112" ht="15.75" customHeight="1">
      <c r="A112" s="71" t="s">
        <v>312</v>
      </c>
      <c r="B112" s="72"/>
      <c r="C112" s="72"/>
      <c r="D112" s="52"/>
      <c r="E112" s="73"/>
      <c r="F112" s="73"/>
      <c r="G112" s="73"/>
      <c r="H112" s="73"/>
      <c r="I112" s="79"/>
    </row>
    <row r="113" ht="15.75" customHeight="1">
      <c r="A113" s="75" t="s">
        <v>313</v>
      </c>
      <c r="B113" s="76"/>
      <c r="C113" s="76"/>
      <c r="D113" s="77"/>
      <c r="E113" s="78"/>
      <c r="F113" s="78"/>
      <c r="G113" s="78"/>
      <c r="H113" s="78"/>
      <c r="I113" s="79"/>
    </row>
    <row r="114" ht="15.75" customHeight="1">
      <c r="A114" s="80"/>
      <c r="B114" s="3"/>
      <c r="C114" s="80"/>
      <c r="D114" s="3"/>
      <c r="E114" s="81"/>
      <c r="F114" s="81"/>
      <c r="G114" s="81"/>
      <c r="H114" s="81"/>
      <c r="I114" s="79"/>
    </row>
    <row r="115" ht="15.75" customHeight="1">
      <c r="A115" s="82" t="s">
        <v>314</v>
      </c>
      <c r="B115" s="3"/>
      <c r="C115" s="83">
        <v>500772.58</v>
      </c>
      <c r="D115" s="81"/>
      <c r="E115" s="81"/>
      <c r="F115" s="81"/>
      <c r="G115" s="81"/>
      <c r="H115" s="81"/>
      <c r="I115" s="79"/>
    </row>
    <row r="116" ht="15.75" customHeight="1">
      <c r="A116" s="82" t="s">
        <v>315</v>
      </c>
      <c r="B116" s="3"/>
      <c r="C116" s="83">
        <v>224902.8</v>
      </c>
      <c r="D116" s="81"/>
      <c r="E116" s="81"/>
      <c r="F116" s="81"/>
      <c r="G116" s="81"/>
      <c r="H116" s="81"/>
      <c r="I116" s="79"/>
    </row>
    <row r="117" ht="15.75" customHeight="1">
      <c r="A117" s="82" t="s">
        <v>316</v>
      </c>
      <c r="B117" s="3"/>
      <c r="C117" s="83">
        <v>60410.0</v>
      </c>
      <c r="D117" s="81"/>
      <c r="E117" s="81"/>
      <c r="F117" s="81"/>
      <c r="G117" s="81"/>
      <c r="H117" s="81"/>
      <c r="I117" s="79"/>
    </row>
    <row r="118" ht="15.75" customHeight="1">
      <c r="A118" s="82" t="s">
        <v>317</v>
      </c>
      <c r="B118" s="3"/>
      <c r="C118" s="83">
        <v>23553.4</v>
      </c>
      <c r="D118" s="81"/>
      <c r="E118" s="81"/>
      <c r="F118" s="81"/>
      <c r="G118" s="81"/>
      <c r="H118" s="81"/>
      <c r="I118" s="79"/>
    </row>
    <row r="119" ht="15.75" customHeight="1">
      <c r="A119" s="82" t="s">
        <v>318</v>
      </c>
      <c r="B119" s="3"/>
      <c r="C119" s="83">
        <v>23553.4</v>
      </c>
      <c r="D119" s="81"/>
      <c r="E119" s="81"/>
      <c r="F119" s="81"/>
      <c r="G119" s="81"/>
      <c r="H119" s="81"/>
      <c r="I119" s="79"/>
    </row>
    <row r="120" ht="15.75" customHeight="1">
      <c r="A120" s="82" t="s">
        <v>319</v>
      </c>
      <c r="B120" s="3"/>
      <c r="C120" s="83">
        <v>120000.0</v>
      </c>
      <c r="D120" s="81"/>
      <c r="E120" s="81"/>
      <c r="F120" s="81"/>
      <c r="G120" s="81"/>
      <c r="H120" s="81"/>
      <c r="I120" s="79"/>
    </row>
    <row r="121" ht="15.75" customHeight="1">
      <c r="A121" s="82" t="s">
        <v>320</v>
      </c>
      <c r="B121" s="3"/>
      <c r="C121" s="83">
        <v>20698.6</v>
      </c>
      <c r="D121" s="81"/>
      <c r="E121" s="81"/>
      <c r="F121" s="81"/>
      <c r="G121" s="81"/>
      <c r="H121" s="81"/>
      <c r="I121" s="79"/>
    </row>
    <row r="122" ht="15.75" customHeight="1">
      <c r="A122" s="82" t="s">
        <v>321</v>
      </c>
      <c r="B122" s="3"/>
      <c r="C122" s="83">
        <v>65596.5</v>
      </c>
      <c r="D122" s="81"/>
      <c r="E122" s="81"/>
      <c r="F122" s="81"/>
      <c r="G122" s="81"/>
      <c r="H122" s="81"/>
      <c r="I122" s="79"/>
    </row>
    <row r="123" ht="15.75" customHeight="1">
      <c r="A123" s="82" t="s">
        <v>322</v>
      </c>
      <c r="B123" s="3"/>
      <c r="C123" s="83">
        <v>138174.79</v>
      </c>
      <c r="D123" s="81"/>
      <c r="E123" s="81"/>
      <c r="F123" s="81"/>
      <c r="G123" s="81"/>
      <c r="H123" s="81"/>
      <c r="I123" s="79"/>
    </row>
    <row r="124" ht="15.75" customHeight="1">
      <c r="A124" s="82" t="s">
        <v>323</v>
      </c>
      <c r="B124" s="3"/>
      <c r="C124" s="81"/>
      <c r="D124" s="83">
        <v>129542.83</v>
      </c>
      <c r="E124" s="81"/>
      <c r="F124" s="81"/>
      <c r="G124" s="81"/>
      <c r="H124" s="81"/>
      <c r="I124" s="79"/>
    </row>
    <row r="125" ht="15.75" customHeight="1">
      <c r="A125" s="84" t="s">
        <v>324</v>
      </c>
      <c r="B125" s="85"/>
      <c r="C125" s="81"/>
      <c r="D125" s="83">
        <v>35329.86</v>
      </c>
      <c r="E125" s="81"/>
      <c r="F125" s="81"/>
      <c r="G125" s="81"/>
      <c r="H125" s="81"/>
      <c r="I125" s="79"/>
    </row>
    <row r="126" ht="15.75" customHeight="1">
      <c r="A126" s="82" t="s">
        <v>325</v>
      </c>
      <c r="B126" s="3"/>
      <c r="C126" s="81"/>
      <c r="D126" s="83">
        <v>70659.72</v>
      </c>
      <c r="E126" s="81"/>
      <c r="F126" s="81"/>
      <c r="G126" s="81"/>
      <c r="H126" s="81"/>
      <c r="I126" s="79"/>
    </row>
    <row r="127" ht="15.75" customHeight="1">
      <c r="A127" s="82" t="s">
        <v>326</v>
      </c>
      <c r="B127" s="3"/>
      <c r="C127" s="81"/>
      <c r="D127" s="83">
        <v>11776.62</v>
      </c>
      <c r="E127" s="81"/>
      <c r="F127" s="81"/>
      <c r="G127" s="81"/>
      <c r="H127" s="81"/>
      <c r="I127" s="79"/>
    </row>
    <row r="128" ht="15.75" customHeight="1">
      <c r="A128" s="82" t="s">
        <v>327</v>
      </c>
      <c r="B128" s="3"/>
      <c r="C128" s="81"/>
      <c r="D128" s="83">
        <v>11776.62</v>
      </c>
      <c r="E128" s="81"/>
      <c r="F128" s="81"/>
      <c r="G128" s="81"/>
      <c r="H128" s="81"/>
      <c r="I128" s="79"/>
    </row>
    <row r="129" ht="15.75" customHeight="1">
      <c r="A129" s="82" t="s">
        <v>328</v>
      </c>
      <c r="B129" s="3"/>
      <c r="C129" s="81"/>
      <c r="D129" s="83">
        <v>23553.24</v>
      </c>
      <c r="E129" s="81"/>
      <c r="F129" s="81"/>
      <c r="G129" s="81"/>
      <c r="H129" s="81"/>
      <c r="I129" s="79"/>
    </row>
    <row r="130" ht="15.75" customHeight="1">
      <c r="A130" s="82" t="s">
        <v>329</v>
      </c>
      <c r="B130" s="3"/>
      <c r="C130" s="81"/>
      <c r="D130" s="83">
        <v>8832.47</v>
      </c>
      <c r="E130" s="81"/>
      <c r="F130" s="81"/>
      <c r="G130" s="81"/>
      <c r="H130" s="81"/>
      <c r="I130" s="79"/>
    </row>
    <row r="131" ht="15.75" customHeight="1">
      <c r="A131" s="82" t="s">
        <v>330</v>
      </c>
      <c r="B131" s="3"/>
      <c r="C131" s="83">
        <v>1177662.07</v>
      </c>
      <c r="D131" s="83">
        <v>291471.36</v>
      </c>
      <c r="E131" s="83">
        <v>886190.71</v>
      </c>
      <c r="F131" s="81"/>
      <c r="G131" s="81"/>
      <c r="H131" s="81"/>
      <c r="I131" s="79"/>
    </row>
    <row r="132" ht="15.75" customHeight="1">
      <c r="A132" s="80"/>
      <c r="B132" s="2"/>
      <c r="C132" s="2"/>
      <c r="D132" s="3"/>
      <c r="E132" s="81"/>
      <c r="F132" s="81"/>
      <c r="G132" s="81"/>
      <c r="H132" s="81"/>
      <c r="I132" s="79"/>
    </row>
    <row r="133" ht="15.75" customHeight="1">
      <c r="A133" s="71" t="s">
        <v>331</v>
      </c>
      <c r="B133" s="72"/>
      <c r="C133" s="72"/>
      <c r="D133" s="52"/>
      <c r="E133" s="73"/>
      <c r="F133" s="73"/>
      <c r="G133" s="73"/>
      <c r="H133" s="73"/>
      <c r="I133" s="79"/>
    </row>
    <row r="134" ht="15.75" customHeight="1">
      <c r="A134" s="75" t="s">
        <v>332</v>
      </c>
      <c r="B134" s="76"/>
      <c r="C134" s="76"/>
      <c r="D134" s="77"/>
      <c r="E134" s="78"/>
      <c r="F134" s="78"/>
      <c r="G134" s="78"/>
      <c r="H134" s="78"/>
      <c r="I134" s="79"/>
    </row>
    <row r="135" ht="15.75" customHeight="1">
      <c r="A135" s="80"/>
      <c r="B135" s="3"/>
      <c r="C135" s="80"/>
      <c r="D135" s="3"/>
      <c r="E135" s="81"/>
      <c r="F135" s="81"/>
      <c r="G135" s="81"/>
      <c r="H135" s="81"/>
      <c r="I135" s="79"/>
    </row>
    <row r="136" ht="15.75" customHeight="1">
      <c r="A136" s="82" t="s">
        <v>333</v>
      </c>
      <c r="B136" s="3"/>
      <c r="C136" s="83">
        <v>732308.95</v>
      </c>
      <c r="D136" s="81"/>
      <c r="E136" s="81"/>
      <c r="F136" s="81"/>
      <c r="G136" s="81"/>
      <c r="H136" s="81"/>
      <c r="I136" s="79"/>
    </row>
    <row r="137" ht="15.75" customHeight="1">
      <c r="A137" s="82" t="s">
        <v>334</v>
      </c>
      <c r="B137" s="3"/>
      <c r="C137" s="83">
        <v>93709.5</v>
      </c>
      <c r="D137" s="81"/>
      <c r="E137" s="81"/>
      <c r="F137" s="81"/>
      <c r="G137" s="81"/>
      <c r="H137" s="81"/>
      <c r="I137" s="79"/>
    </row>
    <row r="138" ht="15.75" customHeight="1">
      <c r="A138" s="82" t="s">
        <v>335</v>
      </c>
      <c r="B138" s="3"/>
      <c r="C138" s="83">
        <v>30268.77</v>
      </c>
      <c r="D138" s="81"/>
      <c r="E138" s="81"/>
      <c r="F138" s="81"/>
      <c r="G138" s="81"/>
      <c r="H138" s="81"/>
      <c r="I138" s="79"/>
    </row>
    <row r="139" ht="15.75" customHeight="1">
      <c r="A139" s="82" t="s">
        <v>336</v>
      </c>
      <c r="B139" s="3"/>
      <c r="C139" s="83">
        <v>90000.0</v>
      </c>
      <c r="D139" s="81"/>
      <c r="E139" s="81"/>
      <c r="F139" s="81"/>
      <c r="G139" s="81"/>
      <c r="H139" s="81"/>
      <c r="I139" s="79"/>
    </row>
    <row r="140" ht="15.75" customHeight="1">
      <c r="A140" s="82" t="s">
        <v>337</v>
      </c>
      <c r="B140" s="3"/>
      <c r="C140" s="83">
        <v>65596.5</v>
      </c>
      <c r="D140" s="81"/>
      <c r="E140" s="81"/>
      <c r="F140" s="81"/>
      <c r="G140" s="81"/>
      <c r="H140" s="81"/>
      <c r="I140" s="79"/>
    </row>
    <row r="141" ht="15.75" customHeight="1">
      <c r="A141" s="82" t="s">
        <v>338</v>
      </c>
      <c r="B141" s="3"/>
      <c r="C141" s="81"/>
      <c r="D141" s="83">
        <v>111307.21</v>
      </c>
      <c r="E141" s="81"/>
      <c r="F141" s="81"/>
      <c r="G141" s="81"/>
      <c r="H141" s="81"/>
      <c r="I141" s="79"/>
    </row>
    <row r="142" ht="15.75" customHeight="1">
      <c r="A142" s="84" t="s">
        <v>339</v>
      </c>
      <c r="B142" s="85"/>
      <c r="C142" s="81"/>
      <c r="D142" s="83">
        <v>30356.51</v>
      </c>
      <c r="E142" s="81"/>
      <c r="F142" s="81"/>
      <c r="G142" s="81"/>
      <c r="H142" s="81"/>
      <c r="I142" s="79"/>
    </row>
    <row r="143" ht="15.75" customHeight="1">
      <c r="A143" s="82" t="s">
        <v>340</v>
      </c>
      <c r="B143" s="3"/>
      <c r="C143" s="81"/>
      <c r="D143" s="83">
        <v>39575.35</v>
      </c>
      <c r="E143" s="81"/>
      <c r="F143" s="81"/>
      <c r="G143" s="81"/>
      <c r="H143" s="81"/>
      <c r="I143" s="79"/>
    </row>
    <row r="144" ht="15.75" customHeight="1">
      <c r="A144" s="82" t="s">
        <v>341</v>
      </c>
      <c r="B144" s="3"/>
      <c r="C144" s="81"/>
      <c r="D144" s="83">
        <v>10118.84</v>
      </c>
      <c r="E144" s="81"/>
      <c r="F144" s="81"/>
      <c r="G144" s="81"/>
      <c r="H144" s="81"/>
      <c r="I144" s="79"/>
    </row>
    <row r="145" ht="15.75" customHeight="1">
      <c r="A145" s="82" t="s">
        <v>342</v>
      </c>
      <c r="B145" s="3"/>
      <c r="C145" s="81"/>
      <c r="D145" s="83">
        <v>10118.84</v>
      </c>
      <c r="E145" s="81"/>
      <c r="F145" s="81"/>
      <c r="G145" s="81"/>
      <c r="H145" s="81"/>
      <c r="I145" s="79"/>
    </row>
    <row r="146" ht="15.75" customHeight="1">
      <c r="A146" s="82" t="s">
        <v>343</v>
      </c>
      <c r="B146" s="3"/>
      <c r="C146" s="81"/>
      <c r="D146" s="83">
        <v>20237.67</v>
      </c>
      <c r="E146" s="81"/>
      <c r="F146" s="81"/>
      <c r="G146" s="81"/>
      <c r="H146" s="81"/>
      <c r="I146" s="79"/>
    </row>
    <row r="147" ht="15.75" customHeight="1">
      <c r="A147" s="82" t="s">
        <v>344</v>
      </c>
      <c r="B147" s="3"/>
      <c r="C147" s="81"/>
      <c r="D147" s="83">
        <v>7589.13</v>
      </c>
      <c r="E147" s="81"/>
      <c r="F147" s="81"/>
      <c r="G147" s="81"/>
      <c r="H147" s="81"/>
      <c r="I147" s="79"/>
    </row>
    <row r="148" ht="15.75" customHeight="1">
      <c r="A148" s="82" t="s">
        <v>345</v>
      </c>
      <c r="B148" s="3"/>
      <c r="C148" s="83">
        <v>1011883.72</v>
      </c>
      <c r="D148" s="83">
        <v>229303.55</v>
      </c>
      <c r="E148" s="83">
        <v>782580.17</v>
      </c>
      <c r="F148" s="81"/>
      <c r="G148" s="81"/>
      <c r="H148" s="81"/>
      <c r="I148" s="79"/>
    </row>
    <row r="149" ht="15.75" customHeight="1">
      <c r="A149" s="80"/>
      <c r="B149" s="2"/>
      <c r="C149" s="2"/>
      <c r="D149" s="3"/>
      <c r="E149" s="81"/>
      <c r="F149" s="81"/>
      <c r="G149" s="81"/>
      <c r="H149" s="81"/>
      <c r="I149" s="79"/>
    </row>
    <row r="150" ht="15.75" customHeight="1">
      <c r="A150" s="82" t="s">
        <v>346</v>
      </c>
      <c r="B150" s="2"/>
      <c r="C150" s="2"/>
      <c r="D150" s="3"/>
      <c r="E150" s="83">
        <v>371648.0</v>
      </c>
      <c r="F150" s="81"/>
      <c r="G150" s="81"/>
      <c r="H150" s="81"/>
      <c r="I150" s="79"/>
    </row>
    <row r="151" ht="15.75" customHeight="1">
      <c r="A151" s="80"/>
      <c r="B151" s="2"/>
      <c r="C151" s="2"/>
      <c r="D151" s="2"/>
      <c r="E151" s="86"/>
      <c r="F151" s="87"/>
      <c r="G151" s="88" t="s">
        <v>347</v>
      </c>
      <c r="H151" s="89">
        <v>3231989.55</v>
      </c>
      <c r="I151" s="90">
        <v>0.18</v>
      </c>
    </row>
    <row r="152" ht="15.75" customHeight="1">
      <c r="A152" s="67" t="s">
        <v>348</v>
      </c>
      <c r="B152" s="2"/>
      <c r="C152" s="2"/>
      <c r="D152" s="3"/>
      <c r="E152" s="68" t="s">
        <v>349</v>
      </c>
      <c r="F152" s="69"/>
      <c r="G152" s="69"/>
      <c r="H152" s="69"/>
      <c r="I152" s="91"/>
    </row>
    <row r="153" ht="15.75" customHeight="1">
      <c r="A153" s="82" t="s">
        <v>350</v>
      </c>
      <c r="B153" s="3"/>
      <c r="C153" s="92" t="s">
        <v>351</v>
      </c>
      <c r="D153" s="3"/>
      <c r="E153" s="83">
        <v>1857651.25</v>
      </c>
      <c r="F153" s="81"/>
      <c r="G153" s="81"/>
      <c r="H153" s="81"/>
      <c r="I153" s="79"/>
    </row>
    <row r="154" ht="15.75" customHeight="1">
      <c r="A154" s="80"/>
      <c r="B154" s="3"/>
      <c r="C154" s="80"/>
      <c r="D154" s="3"/>
      <c r="E154" s="81"/>
      <c r="F154" s="81"/>
      <c r="G154" s="81"/>
      <c r="H154" s="81"/>
      <c r="I154" s="79"/>
    </row>
    <row r="155" ht="15.75" customHeight="1">
      <c r="A155" s="80"/>
      <c r="B155" s="93"/>
      <c r="C155" s="93"/>
      <c r="D155" s="93"/>
      <c r="E155" s="93"/>
      <c r="F155" s="93"/>
      <c r="G155" s="88" t="s">
        <v>352</v>
      </c>
      <c r="H155" s="89">
        <v>1857651.25</v>
      </c>
      <c r="I155" s="94">
        <v>0.1</v>
      </c>
    </row>
    <row r="156" ht="15.75" customHeight="1"/>
    <row r="157" ht="15.75" customHeight="1">
      <c r="A157" s="95" t="s">
        <v>353</v>
      </c>
      <c r="B157" s="3"/>
      <c r="C157" s="53" t="s">
        <v>354</v>
      </c>
      <c r="D157" s="69"/>
      <c r="E157" s="69"/>
      <c r="F157" s="69"/>
      <c r="G157" s="91"/>
    </row>
    <row r="158" ht="15.75" customHeight="1">
      <c r="A158" s="49" t="s">
        <v>355</v>
      </c>
      <c r="B158" s="43" t="s">
        <v>356</v>
      </c>
      <c r="C158" s="96">
        <v>511036.8</v>
      </c>
      <c r="D158" s="97"/>
      <c r="E158" s="97"/>
      <c r="F158" s="97"/>
      <c r="G158" s="79"/>
    </row>
    <row r="159" ht="15.75" customHeight="1">
      <c r="A159" s="81"/>
      <c r="B159" s="81"/>
      <c r="C159" s="81"/>
      <c r="D159" s="81"/>
      <c r="E159" s="81"/>
      <c r="F159" s="81"/>
      <c r="G159" s="79"/>
    </row>
    <row r="160" ht="15.75" customHeight="1">
      <c r="A160" s="98"/>
      <c r="B160" s="99"/>
      <c r="C160" s="99"/>
      <c r="D160" s="99"/>
      <c r="E160" s="100" t="s">
        <v>357</v>
      </c>
      <c r="F160" s="101">
        <v>511036.8</v>
      </c>
      <c r="G160" s="102">
        <v>0.03</v>
      </c>
    </row>
    <row r="161" ht="15.75" customHeight="1">
      <c r="A161" s="95" t="s">
        <v>358</v>
      </c>
      <c r="B161" s="3"/>
      <c r="C161" s="53" t="s">
        <v>359</v>
      </c>
      <c r="D161" s="69"/>
      <c r="E161" s="69"/>
      <c r="F161" s="69"/>
      <c r="G161" s="91"/>
    </row>
    <row r="162" ht="15.75" customHeight="1">
      <c r="A162" s="49" t="s">
        <v>360</v>
      </c>
      <c r="B162" s="43" t="s">
        <v>361</v>
      </c>
      <c r="C162" s="96">
        <v>17960.77</v>
      </c>
      <c r="D162" s="97"/>
      <c r="E162" s="97"/>
      <c r="F162" s="97"/>
      <c r="G162" s="79"/>
    </row>
    <row r="163" ht="15.75" customHeight="1">
      <c r="A163" s="49" t="s">
        <v>362</v>
      </c>
      <c r="B163" s="43" t="s">
        <v>363</v>
      </c>
      <c r="C163" s="96">
        <v>478174.54</v>
      </c>
      <c r="D163" s="97"/>
      <c r="E163" s="97"/>
      <c r="F163" s="97"/>
      <c r="G163" s="79"/>
    </row>
    <row r="164" ht="15.75" customHeight="1">
      <c r="A164" s="49" t="s">
        <v>364</v>
      </c>
      <c r="B164" s="43" t="s">
        <v>365</v>
      </c>
      <c r="C164" s="96">
        <v>1080116.22</v>
      </c>
      <c r="D164" s="97"/>
      <c r="E164" s="97"/>
      <c r="F164" s="97"/>
      <c r="G164" s="79"/>
    </row>
    <row r="165" ht="15.75" customHeight="1">
      <c r="A165" s="49" t="s">
        <v>366</v>
      </c>
      <c r="B165" s="43" t="s">
        <v>367</v>
      </c>
      <c r="C165" s="96">
        <v>1196461.3</v>
      </c>
      <c r="D165" s="97"/>
      <c r="E165" s="97"/>
      <c r="F165" s="97"/>
      <c r="G165" s="79"/>
    </row>
    <row r="166" ht="15.75" customHeight="1">
      <c r="A166" s="49" t="s">
        <v>368</v>
      </c>
      <c r="B166" s="43" t="s">
        <v>369</v>
      </c>
      <c r="C166" s="96">
        <v>35389.0</v>
      </c>
      <c r="D166" s="97"/>
      <c r="E166" s="97"/>
      <c r="F166" s="97"/>
      <c r="G166" s="79"/>
    </row>
    <row r="167" ht="15.75" customHeight="1">
      <c r="A167" s="81"/>
      <c r="B167" s="81"/>
      <c r="C167" s="81"/>
      <c r="D167" s="81"/>
      <c r="E167" s="81"/>
      <c r="F167" s="81"/>
      <c r="G167" s="79"/>
    </row>
    <row r="168" ht="15.75" customHeight="1">
      <c r="A168" s="98"/>
      <c r="B168" s="99"/>
      <c r="C168" s="99"/>
      <c r="D168" s="99"/>
      <c r="E168" s="100" t="s">
        <v>370</v>
      </c>
      <c r="F168" s="101">
        <v>2808101.83</v>
      </c>
      <c r="G168" s="102">
        <v>0.15</v>
      </c>
    </row>
    <row r="169" ht="15.75" customHeight="1">
      <c r="A169" s="95" t="s">
        <v>371</v>
      </c>
      <c r="B169" s="3"/>
      <c r="C169" s="53" t="s">
        <v>372</v>
      </c>
      <c r="D169" s="103"/>
      <c r="E169" s="104" t="s">
        <v>373</v>
      </c>
      <c r="F169" s="70" t="s">
        <v>374</v>
      </c>
      <c r="G169" s="91"/>
    </row>
    <row r="170" ht="15.75" customHeight="1">
      <c r="A170" s="49" t="s">
        <v>375</v>
      </c>
      <c r="B170" s="49" t="s">
        <v>376</v>
      </c>
      <c r="C170" s="97"/>
      <c r="D170" s="97"/>
      <c r="E170" s="97"/>
      <c r="F170" s="96">
        <v>3500000.0</v>
      </c>
      <c r="G170" s="79"/>
    </row>
    <row r="171" ht="15.75" customHeight="1">
      <c r="A171" s="49" t="s">
        <v>377</v>
      </c>
      <c r="B171" s="49" t="s">
        <v>378</v>
      </c>
      <c r="C171" s="96">
        <v>87866.77</v>
      </c>
      <c r="D171" s="97"/>
      <c r="E171" s="97"/>
      <c r="F171" s="97"/>
      <c r="G171" s="79"/>
    </row>
    <row r="172" ht="15.75" customHeight="1">
      <c r="A172" s="49" t="s">
        <v>379</v>
      </c>
      <c r="B172" s="49" t="s">
        <v>380</v>
      </c>
      <c r="C172" s="97"/>
      <c r="D172" s="97"/>
      <c r="E172" s="105">
        <v>30006.05</v>
      </c>
      <c r="F172" s="97"/>
      <c r="G172" s="79"/>
    </row>
    <row r="173" ht="15.75" customHeight="1">
      <c r="A173" s="49" t="s">
        <v>381</v>
      </c>
      <c r="B173" s="49" t="s">
        <v>382</v>
      </c>
      <c r="C173" s="97"/>
      <c r="D173" s="97"/>
      <c r="E173" s="105">
        <v>10000.0</v>
      </c>
      <c r="F173" s="97"/>
      <c r="G173" s="79"/>
    </row>
    <row r="174" ht="15.75" customHeight="1">
      <c r="A174" s="49" t="s">
        <v>383</v>
      </c>
      <c r="B174" s="49" t="s">
        <v>384</v>
      </c>
      <c r="C174" s="97"/>
      <c r="D174" s="97"/>
      <c r="E174" s="105">
        <v>296000.0</v>
      </c>
      <c r="F174" s="97"/>
      <c r="G174" s="79"/>
    </row>
    <row r="175" ht="15.75" customHeight="1">
      <c r="A175" s="49" t="s">
        <v>385</v>
      </c>
      <c r="B175" s="49" t="s">
        <v>386</v>
      </c>
      <c r="C175" s="96">
        <v>102400.0</v>
      </c>
      <c r="D175" s="97"/>
      <c r="E175" s="97"/>
      <c r="F175" s="97"/>
      <c r="G175" s="79"/>
    </row>
    <row r="176" ht="15.75" customHeight="1">
      <c r="A176" s="49" t="s">
        <v>387</v>
      </c>
      <c r="B176" s="49" t="s">
        <v>388</v>
      </c>
      <c r="C176" s="96">
        <v>63000.0</v>
      </c>
      <c r="D176" s="97"/>
      <c r="E176" s="97"/>
      <c r="F176" s="97"/>
      <c r="G176" s="79"/>
    </row>
    <row r="177" ht="15.75" customHeight="1">
      <c r="A177" s="49" t="s">
        <v>389</v>
      </c>
      <c r="B177" s="49" t="s">
        <v>390</v>
      </c>
      <c r="C177" s="96">
        <v>90000.0</v>
      </c>
      <c r="D177" s="97"/>
      <c r="E177" s="97"/>
      <c r="F177" s="97"/>
      <c r="G177" s="79"/>
    </row>
    <row r="178" ht="15.75" customHeight="1">
      <c r="A178" s="81"/>
      <c r="B178" s="81"/>
      <c r="C178" s="81"/>
      <c r="D178" s="81"/>
      <c r="E178" s="81"/>
      <c r="F178" s="81"/>
      <c r="G178" s="79"/>
    </row>
    <row r="179" ht="15.75" customHeight="1">
      <c r="A179" s="98"/>
      <c r="B179" s="99"/>
      <c r="C179" s="99"/>
      <c r="D179" s="99"/>
      <c r="E179" s="100" t="s">
        <v>391</v>
      </c>
      <c r="F179" s="101">
        <v>4179272.82</v>
      </c>
      <c r="G179" s="102">
        <v>0.23</v>
      </c>
    </row>
    <row r="180" ht="15.75" customHeight="1">
      <c r="A180" s="95" t="s">
        <v>392</v>
      </c>
      <c r="B180" s="3"/>
      <c r="C180" s="53" t="s">
        <v>393</v>
      </c>
      <c r="D180" s="69"/>
      <c r="E180" s="69"/>
      <c r="F180" s="69"/>
      <c r="G180" s="91"/>
    </row>
    <row r="181" ht="15.75" customHeight="1">
      <c r="A181" s="106" t="s">
        <v>394</v>
      </c>
      <c r="B181" s="3"/>
      <c r="C181" s="96">
        <v>96390.71</v>
      </c>
      <c r="D181" s="97"/>
      <c r="E181" s="97"/>
      <c r="F181" s="97"/>
      <c r="G181" s="79"/>
    </row>
    <row r="182" ht="15.75" customHeight="1">
      <c r="A182" s="106" t="s">
        <v>395</v>
      </c>
      <c r="B182" s="3"/>
      <c r="C182" s="96">
        <v>335997.61</v>
      </c>
      <c r="D182" s="97"/>
      <c r="E182" s="97"/>
      <c r="F182" s="97"/>
      <c r="G182" s="79"/>
    </row>
    <row r="183" ht="15.75" customHeight="1">
      <c r="A183" s="98"/>
      <c r="B183" s="99"/>
      <c r="C183" s="99"/>
      <c r="D183" s="99"/>
      <c r="E183" s="100" t="s">
        <v>396</v>
      </c>
      <c r="F183" s="101">
        <v>432388.32</v>
      </c>
      <c r="G183" s="102">
        <v>0.02</v>
      </c>
    </row>
    <row r="184" ht="15.75" customHeight="1">
      <c r="A184" s="95" t="s">
        <v>397</v>
      </c>
      <c r="B184" s="3"/>
      <c r="C184" s="53" t="s">
        <v>398</v>
      </c>
      <c r="D184" s="69"/>
      <c r="E184" s="69"/>
      <c r="F184" s="69"/>
      <c r="G184" s="91"/>
    </row>
    <row r="185" ht="15.75" customHeight="1">
      <c r="A185" s="49" t="s">
        <v>399</v>
      </c>
      <c r="B185" s="49" t="s">
        <v>400</v>
      </c>
      <c r="C185" s="96">
        <v>199165.23</v>
      </c>
      <c r="D185" s="97"/>
      <c r="E185" s="97"/>
      <c r="F185" s="97"/>
      <c r="G185" s="79"/>
    </row>
    <row r="186" ht="15.75" customHeight="1">
      <c r="A186" s="49" t="s">
        <v>401</v>
      </c>
      <c r="B186" s="43" t="s">
        <v>402</v>
      </c>
      <c r="C186" s="96">
        <v>12692.0</v>
      </c>
      <c r="D186" s="97"/>
      <c r="E186" s="97"/>
      <c r="F186" s="97"/>
      <c r="G186" s="79"/>
    </row>
    <row r="187" ht="15.75" customHeight="1">
      <c r="A187" s="98"/>
      <c r="B187" s="99"/>
      <c r="C187" s="99"/>
      <c r="D187" s="99"/>
      <c r="E187" s="100" t="s">
        <v>403</v>
      </c>
      <c r="F187" s="101">
        <v>211857.23</v>
      </c>
      <c r="G187" s="102">
        <v>0.01</v>
      </c>
    </row>
    <row r="188" ht="15.75" customHeight="1">
      <c r="A188" s="95" t="s">
        <v>404</v>
      </c>
      <c r="B188" s="3"/>
      <c r="C188" s="103"/>
      <c r="D188" s="103" t="s">
        <v>405</v>
      </c>
      <c r="E188" s="104" t="s">
        <v>406</v>
      </c>
      <c r="F188" s="103"/>
      <c r="G188" s="91"/>
    </row>
    <row r="189" ht="15.75" customHeight="1">
      <c r="A189" s="49" t="s">
        <v>407</v>
      </c>
      <c r="B189" s="49" t="s">
        <v>408</v>
      </c>
      <c r="C189" s="97"/>
      <c r="D189" s="96">
        <v>2848094.39</v>
      </c>
      <c r="E189" s="97"/>
      <c r="F189" s="97"/>
      <c r="G189" s="79"/>
    </row>
    <row r="190" ht="15.75" customHeight="1">
      <c r="A190" s="49" t="s">
        <v>409</v>
      </c>
      <c r="B190" s="49" t="s">
        <v>410</v>
      </c>
      <c r="C190" s="97"/>
      <c r="D190" s="96">
        <v>1600615.04</v>
      </c>
      <c r="E190" s="97"/>
      <c r="F190" s="97"/>
      <c r="G190" s="79"/>
    </row>
    <row r="191" ht="15.75" customHeight="1">
      <c r="A191" s="98"/>
      <c r="B191" s="99"/>
      <c r="C191" s="99"/>
      <c r="D191" s="99"/>
      <c r="E191" s="100" t="s">
        <v>411</v>
      </c>
      <c r="F191" s="101">
        <v>4448709.43</v>
      </c>
      <c r="G191" s="102">
        <v>0.24</v>
      </c>
    </row>
    <row r="192" ht="15.75" customHeight="1">
      <c r="A192" s="95" t="s">
        <v>412</v>
      </c>
      <c r="B192" s="3"/>
      <c r="C192" s="53" t="s">
        <v>413</v>
      </c>
      <c r="D192" s="103"/>
      <c r="E192" s="104" t="s">
        <v>414</v>
      </c>
      <c r="F192" s="70" t="s">
        <v>415</v>
      </c>
      <c r="G192" s="91"/>
    </row>
    <row r="193" ht="15.75" customHeight="1">
      <c r="A193" s="49" t="s">
        <v>416</v>
      </c>
      <c r="B193" s="49" t="s">
        <v>417</v>
      </c>
      <c r="C193" s="96">
        <v>70000.0</v>
      </c>
      <c r="D193" s="97"/>
      <c r="E193" s="97"/>
      <c r="F193" s="97"/>
      <c r="G193" s="79"/>
    </row>
    <row r="194" ht="15.75" customHeight="1">
      <c r="A194" s="81"/>
      <c r="B194" s="81"/>
      <c r="C194" s="81"/>
      <c r="D194" s="81"/>
      <c r="E194" s="81"/>
      <c r="F194" s="81"/>
      <c r="G194" s="79"/>
    </row>
    <row r="195" ht="15.75" customHeight="1">
      <c r="A195" s="98"/>
      <c r="B195" s="99"/>
      <c r="C195" s="99"/>
      <c r="D195" s="99"/>
      <c r="E195" s="100" t="s">
        <v>418</v>
      </c>
      <c r="F195" s="101">
        <v>70000.0</v>
      </c>
      <c r="G195" s="102">
        <v>0.0</v>
      </c>
    </row>
    <row r="196" ht="15.75" customHeight="1">
      <c r="A196" s="95" t="s">
        <v>419</v>
      </c>
      <c r="B196" s="3"/>
      <c r="C196" s="53" t="s">
        <v>420</v>
      </c>
      <c r="D196" s="103"/>
      <c r="E196" s="104" t="s">
        <v>421</v>
      </c>
      <c r="F196" s="104" t="s">
        <v>422</v>
      </c>
      <c r="G196" s="91"/>
    </row>
    <row r="197" ht="15.75" customHeight="1">
      <c r="A197" s="106" t="s">
        <v>423</v>
      </c>
      <c r="B197" s="3"/>
      <c r="C197" s="96">
        <v>125000.0</v>
      </c>
      <c r="D197" s="97"/>
      <c r="E197" s="97"/>
      <c r="F197" s="97"/>
      <c r="G197" s="79"/>
    </row>
    <row r="198" ht="15.75" customHeight="1">
      <c r="A198" s="106" t="s">
        <v>424</v>
      </c>
      <c r="B198" s="3"/>
      <c r="C198" s="96">
        <v>20000.0</v>
      </c>
      <c r="D198" s="97"/>
      <c r="E198" s="97"/>
      <c r="F198" s="97"/>
      <c r="G198" s="79"/>
    </row>
    <row r="199" ht="15.75" customHeight="1">
      <c r="A199" s="80"/>
      <c r="B199" s="3"/>
      <c r="C199" s="81"/>
      <c r="D199" s="81"/>
      <c r="E199" s="81"/>
      <c r="F199" s="81"/>
      <c r="G199" s="79"/>
    </row>
    <row r="200" ht="15.75" customHeight="1">
      <c r="A200" s="98"/>
      <c r="B200" s="99"/>
      <c r="C200" s="99"/>
      <c r="D200" s="99"/>
      <c r="E200" s="100" t="s">
        <v>425</v>
      </c>
      <c r="F200" s="101">
        <v>145000.0</v>
      </c>
      <c r="G200" s="102">
        <v>0.01</v>
      </c>
    </row>
    <row r="201" ht="15.75" customHeight="1">
      <c r="A201" s="95" t="s">
        <v>426</v>
      </c>
      <c r="B201" s="3"/>
      <c r="C201" s="53" t="s">
        <v>427</v>
      </c>
      <c r="D201" s="69"/>
      <c r="E201" s="69"/>
      <c r="F201" s="69"/>
      <c r="G201" s="91"/>
    </row>
    <row r="202" ht="15.75" customHeight="1">
      <c r="A202" s="107" t="s">
        <v>428</v>
      </c>
      <c r="B202" s="49" t="s">
        <v>429</v>
      </c>
      <c r="C202" s="96">
        <v>495000.0</v>
      </c>
      <c r="D202" s="97"/>
      <c r="E202" s="97"/>
      <c r="F202" s="97"/>
      <c r="G202" s="79"/>
    </row>
    <row r="203" ht="15.75" customHeight="1">
      <c r="A203" s="98"/>
      <c r="B203" s="99"/>
      <c r="C203" s="99"/>
      <c r="D203" s="99"/>
      <c r="E203" s="100" t="s">
        <v>430</v>
      </c>
      <c r="F203" s="101">
        <v>495000.0</v>
      </c>
      <c r="G203" s="102">
        <v>0.03</v>
      </c>
    </row>
    <row r="204" ht="15.75" customHeight="1">
      <c r="A204" s="108"/>
      <c r="B204" s="109" t="s">
        <v>431</v>
      </c>
      <c r="C204" s="110">
        <v>1.010629175E7</v>
      </c>
      <c r="D204" s="110">
        <v>4448709.43</v>
      </c>
      <c r="E204" s="111">
        <v>336006.05</v>
      </c>
      <c r="F204" s="112">
        <v>3500000.0</v>
      </c>
      <c r="G204" s="113"/>
    </row>
    <row r="205" ht="15.75" customHeight="1">
      <c r="A205" s="114" t="s">
        <v>432</v>
      </c>
      <c r="B205" s="115"/>
      <c r="C205" s="115"/>
      <c r="D205" s="115"/>
      <c r="E205" s="116"/>
      <c r="F205" s="117">
        <v>1.839100723E7</v>
      </c>
      <c r="G205" s="118">
        <v>1.0</v>
      </c>
    </row>
    <row r="206" ht="15.75" customHeight="1"/>
    <row r="207" ht="15.75" customHeight="1"/>
    <row r="208" ht="15.75" customHeight="1">
      <c r="A208" s="119" t="s">
        <v>433</v>
      </c>
      <c r="B208" s="2"/>
      <c r="C208" s="2"/>
      <c r="D208" s="2"/>
      <c r="E208" s="2"/>
      <c r="F208" s="2"/>
      <c r="G208" s="2"/>
      <c r="H208" s="2"/>
      <c r="I208" s="3"/>
    </row>
    <row r="209" ht="15.75" customHeight="1">
      <c r="A209" s="120" t="s">
        <v>434</v>
      </c>
      <c r="B209" s="2"/>
      <c r="C209" s="2"/>
      <c r="D209" s="2"/>
      <c r="E209" s="2"/>
      <c r="F209" s="2"/>
      <c r="G209" s="3"/>
      <c r="H209" s="121">
        <v>8026431.61</v>
      </c>
      <c r="I209" s="3"/>
    </row>
    <row r="210" ht="15.75" customHeight="1">
      <c r="A210" s="106" t="s">
        <v>435</v>
      </c>
      <c r="B210" s="2"/>
      <c r="C210" s="2"/>
      <c r="D210" s="2"/>
      <c r="E210" s="2"/>
      <c r="F210" s="2"/>
      <c r="G210" s="3"/>
      <c r="H210" s="122">
        <v>2.426418695E7</v>
      </c>
      <c r="I210" s="3"/>
    </row>
    <row r="211" ht="15.75" customHeight="1">
      <c r="A211" s="106" t="s">
        <v>436</v>
      </c>
      <c r="B211" s="2"/>
      <c r="C211" s="2"/>
      <c r="D211" s="2"/>
      <c r="E211" s="2"/>
      <c r="F211" s="2"/>
      <c r="G211" s="3"/>
      <c r="H211" s="123" t="s">
        <v>437</v>
      </c>
      <c r="I211" s="124">
        <v>2459149.87</v>
      </c>
    </row>
    <row r="212" ht="15.75" customHeight="1">
      <c r="A212" s="106" t="s">
        <v>438</v>
      </c>
      <c r="B212" s="2"/>
      <c r="C212" s="2"/>
      <c r="D212" s="2"/>
      <c r="E212" s="2"/>
      <c r="F212" s="2"/>
      <c r="G212" s="3"/>
      <c r="H212" s="123" t="s">
        <v>439</v>
      </c>
      <c r="I212" s="124">
        <v>2641034.75</v>
      </c>
    </row>
    <row r="213" ht="15.75" customHeight="1">
      <c r="A213" s="106" t="s">
        <v>440</v>
      </c>
      <c r="B213" s="2"/>
      <c r="C213" s="2"/>
      <c r="D213" s="2"/>
      <c r="E213" s="2"/>
      <c r="F213" s="2"/>
      <c r="G213" s="3"/>
      <c r="H213" s="123" t="s">
        <v>441</v>
      </c>
      <c r="I213" s="124">
        <v>1053604.04</v>
      </c>
    </row>
    <row r="214" ht="15.75" customHeight="1">
      <c r="A214" s="106" t="s">
        <v>442</v>
      </c>
      <c r="B214" s="2"/>
      <c r="C214" s="2"/>
      <c r="D214" s="2"/>
      <c r="E214" s="2"/>
      <c r="F214" s="2"/>
      <c r="G214" s="3"/>
      <c r="H214" s="123" t="s">
        <v>443</v>
      </c>
      <c r="I214" s="124">
        <v>96390.71</v>
      </c>
    </row>
    <row r="215" ht="15.75" customHeight="1">
      <c r="A215" s="106" t="s">
        <v>444</v>
      </c>
      <c r="B215" s="2"/>
      <c r="C215" s="2"/>
      <c r="D215" s="2"/>
      <c r="E215" s="2"/>
      <c r="F215" s="2"/>
      <c r="G215" s="3"/>
      <c r="H215" s="123" t="s">
        <v>445</v>
      </c>
      <c r="I215" s="124">
        <v>211857.23</v>
      </c>
    </row>
    <row r="216" ht="15.75" customHeight="1">
      <c r="A216" s="106" t="s">
        <v>446</v>
      </c>
      <c r="B216" s="2"/>
      <c r="C216" s="2"/>
      <c r="D216" s="2"/>
      <c r="E216" s="2"/>
      <c r="F216" s="2"/>
      <c r="G216" s="3"/>
      <c r="H216" s="123" t="s">
        <v>447</v>
      </c>
      <c r="I216" s="124">
        <v>2808101.83</v>
      </c>
    </row>
    <row r="217" ht="15.75" customHeight="1">
      <c r="A217" s="106" t="s">
        <v>448</v>
      </c>
      <c r="B217" s="2"/>
      <c r="C217" s="2"/>
      <c r="D217" s="2"/>
      <c r="E217" s="2"/>
      <c r="F217" s="2"/>
      <c r="G217" s="3"/>
      <c r="H217" s="123" t="s">
        <v>449</v>
      </c>
      <c r="I217" s="124">
        <v>2.246527565E7</v>
      </c>
    </row>
    <row r="218" ht="15.75" customHeight="1">
      <c r="A218" s="106" t="s">
        <v>450</v>
      </c>
      <c r="B218" s="2"/>
      <c r="C218" s="2"/>
      <c r="D218" s="2"/>
      <c r="E218" s="2"/>
      <c r="F218" s="2"/>
      <c r="G218" s="3"/>
      <c r="H218" s="123" t="s">
        <v>451</v>
      </c>
      <c r="I218" s="124">
        <v>335997.61</v>
      </c>
    </row>
    <row r="219" ht="15.75" customHeight="1">
      <c r="A219" s="125" t="s">
        <v>452</v>
      </c>
      <c r="B219" s="72"/>
      <c r="C219" s="72"/>
      <c r="D219" s="72"/>
      <c r="E219" s="72"/>
      <c r="F219" s="72"/>
      <c r="G219" s="52"/>
      <c r="H219" s="126">
        <v>219206.87</v>
      </c>
      <c r="I219" s="52"/>
    </row>
    <row r="220" ht="15.75" customHeight="1">
      <c r="A220" s="127"/>
      <c r="B220" s="127"/>
      <c r="C220" s="127"/>
      <c r="D220" s="127"/>
      <c r="E220" s="127"/>
      <c r="F220" s="127"/>
      <c r="G220" s="127"/>
      <c r="H220" s="127"/>
      <c r="I220" s="127"/>
    </row>
    <row r="221" ht="15.75" customHeight="1">
      <c r="A221" s="127"/>
      <c r="B221" s="127"/>
      <c r="C221" s="127"/>
      <c r="D221" s="127"/>
      <c r="E221" s="127"/>
      <c r="F221" s="127"/>
      <c r="G221" s="127"/>
      <c r="H221" s="127"/>
      <c r="I221" s="127"/>
    </row>
    <row r="222" ht="15.75" customHeight="1">
      <c r="A222" s="128" t="s">
        <v>453</v>
      </c>
      <c r="B222" s="76"/>
      <c r="C222" s="76"/>
      <c r="D222" s="76"/>
      <c r="E222" s="76"/>
      <c r="F222" s="76"/>
      <c r="G222" s="76"/>
      <c r="H222" s="76"/>
      <c r="I222" s="77"/>
    </row>
    <row r="223" ht="15.75" customHeight="1">
      <c r="A223" s="129" t="s">
        <v>454</v>
      </c>
      <c r="B223" s="130" t="s">
        <v>455</v>
      </c>
      <c r="C223" s="3"/>
      <c r="D223" s="131" t="s">
        <v>456</v>
      </c>
      <c r="E223" s="131" t="s">
        <v>457</v>
      </c>
      <c r="F223" s="132" t="s">
        <v>458</v>
      </c>
      <c r="G223" s="133" t="s">
        <v>459</v>
      </c>
      <c r="H223" s="72"/>
      <c r="I223" s="52"/>
    </row>
    <row r="224" ht="15.75" customHeight="1">
      <c r="A224" s="134" t="s">
        <v>460</v>
      </c>
      <c r="B224" s="2"/>
      <c r="C224" s="2"/>
      <c r="D224" s="3"/>
      <c r="E224" s="135">
        <v>6971493.0</v>
      </c>
      <c r="F224" s="78"/>
      <c r="G224" s="136"/>
      <c r="H224" s="76"/>
      <c r="I224" s="77"/>
    </row>
    <row r="225" ht="15.75" customHeight="1">
      <c r="A225" s="129" t="s">
        <v>461</v>
      </c>
      <c r="B225" s="49" t="s">
        <v>462</v>
      </c>
      <c r="C225" s="49" t="s">
        <v>463</v>
      </c>
      <c r="D225" s="42">
        <v>1500000.0</v>
      </c>
      <c r="E225" s="42">
        <v>1500000.0</v>
      </c>
      <c r="F225" s="49" t="s">
        <v>464</v>
      </c>
      <c r="G225" s="123" t="s">
        <v>465</v>
      </c>
      <c r="H225" s="2"/>
      <c r="I225" s="3"/>
    </row>
    <row r="226" ht="15.75" customHeight="1">
      <c r="A226" s="129" t="s">
        <v>466</v>
      </c>
      <c r="B226" s="49" t="s">
        <v>467</v>
      </c>
      <c r="C226" s="49" t="s">
        <v>468</v>
      </c>
      <c r="D226" s="42">
        <v>1500000.0</v>
      </c>
      <c r="E226" s="42">
        <v>1500000.0</v>
      </c>
      <c r="F226" s="49" t="s">
        <v>469</v>
      </c>
      <c r="G226" s="123" t="s">
        <v>470</v>
      </c>
      <c r="H226" s="2"/>
      <c r="I226" s="3"/>
    </row>
    <row r="227" ht="15.75" customHeight="1">
      <c r="A227" s="129" t="s">
        <v>471</v>
      </c>
      <c r="B227" s="49" t="s">
        <v>472</v>
      </c>
      <c r="C227" s="49" t="s">
        <v>473</v>
      </c>
      <c r="D227" s="42">
        <v>1500000.0</v>
      </c>
      <c r="E227" s="42">
        <v>1500000.0</v>
      </c>
      <c r="F227" s="49" t="s">
        <v>474</v>
      </c>
      <c r="G227" s="123" t="s">
        <v>475</v>
      </c>
      <c r="H227" s="2"/>
      <c r="I227" s="3"/>
    </row>
    <row r="228" ht="15.75" customHeight="1">
      <c r="A228" s="129" t="s">
        <v>476</v>
      </c>
      <c r="B228" s="49" t="s">
        <v>477</v>
      </c>
      <c r="C228" s="49" t="s">
        <v>478</v>
      </c>
      <c r="D228" s="42">
        <v>1500000.0</v>
      </c>
      <c r="E228" s="42">
        <v>1500000.0</v>
      </c>
      <c r="F228" s="49" t="s">
        <v>479</v>
      </c>
      <c r="G228" s="123" t="s">
        <v>480</v>
      </c>
      <c r="H228" s="2"/>
      <c r="I228" s="3"/>
    </row>
    <row r="229" ht="15.75" customHeight="1">
      <c r="A229" s="129" t="s">
        <v>481</v>
      </c>
      <c r="B229" s="49" t="s">
        <v>482</v>
      </c>
      <c r="C229" s="49" t="s">
        <v>483</v>
      </c>
      <c r="D229" s="42">
        <v>1500000.0</v>
      </c>
      <c r="E229" s="137">
        <v>1315650.0</v>
      </c>
      <c r="F229" s="49" t="s">
        <v>484</v>
      </c>
      <c r="G229" s="123" t="s">
        <v>485</v>
      </c>
      <c r="H229" s="2"/>
      <c r="I229" s="3"/>
      <c r="J229" s="138" t="s">
        <v>486</v>
      </c>
    </row>
    <row r="230" ht="15.75" customHeight="1">
      <c r="A230" s="132" t="s">
        <v>487</v>
      </c>
      <c r="B230" s="49" t="s">
        <v>488</v>
      </c>
      <c r="C230" s="49" t="s">
        <v>489</v>
      </c>
      <c r="D230" s="42">
        <v>7000000.0</v>
      </c>
      <c r="E230" s="137" t="s">
        <v>490</v>
      </c>
      <c r="F230" s="49" t="s">
        <v>491</v>
      </c>
      <c r="G230" s="123" t="s">
        <v>492</v>
      </c>
      <c r="H230" s="2"/>
      <c r="I230" s="3"/>
      <c r="J230" s="138" t="s">
        <v>493</v>
      </c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</row>
    <row r="231" ht="15.75" customHeight="1">
      <c r="A231" s="139"/>
      <c r="B231" s="49" t="s">
        <v>494</v>
      </c>
      <c r="C231" s="49" t="s">
        <v>495</v>
      </c>
      <c r="D231" s="49" t="s">
        <v>496</v>
      </c>
      <c r="E231" s="49" t="s">
        <v>497</v>
      </c>
      <c r="F231" s="140">
        <v>700000.0</v>
      </c>
      <c r="G231" s="141">
        <v>45996.0</v>
      </c>
      <c r="H231" s="2"/>
      <c r="I231" s="3"/>
      <c r="J231" s="34" t="s">
        <v>498</v>
      </c>
    </row>
    <row r="232" ht="15.75" customHeight="1">
      <c r="A232" s="139"/>
      <c r="B232" s="49" t="s">
        <v>499</v>
      </c>
      <c r="C232" s="49" t="s">
        <v>500</v>
      </c>
      <c r="D232" s="49" t="s">
        <v>501</v>
      </c>
      <c r="E232" s="49" t="s">
        <v>502</v>
      </c>
      <c r="F232" s="140">
        <v>1000000.0</v>
      </c>
      <c r="G232" s="141">
        <v>46003.0</v>
      </c>
      <c r="H232" s="2"/>
      <c r="I232" s="3"/>
      <c r="J232" s="34" t="s">
        <v>498</v>
      </c>
    </row>
    <row r="233" ht="15.75" customHeight="1">
      <c r="A233" s="139"/>
      <c r="B233" s="49" t="s">
        <v>503</v>
      </c>
      <c r="C233" s="49" t="s">
        <v>504</v>
      </c>
      <c r="D233" s="49" t="s">
        <v>505</v>
      </c>
      <c r="E233" s="49" t="s">
        <v>506</v>
      </c>
      <c r="F233" s="140">
        <v>1700000.0</v>
      </c>
      <c r="G233" s="141">
        <v>46009.0</v>
      </c>
      <c r="H233" s="2"/>
      <c r="I233" s="3"/>
      <c r="J233" s="8" t="s">
        <v>12</v>
      </c>
    </row>
    <row r="234" ht="15.75" customHeight="1">
      <c r="A234" s="139"/>
      <c r="B234" s="49" t="s">
        <v>507</v>
      </c>
      <c r="C234" s="49" t="s">
        <v>508</v>
      </c>
      <c r="D234" s="49" t="s">
        <v>509</v>
      </c>
      <c r="E234" s="49" t="s">
        <v>510</v>
      </c>
      <c r="F234" s="140">
        <v>1500000.0</v>
      </c>
      <c r="G234" s="141">
        <v>46020.0</v>
      </c>
      <c r="H234" s="2"/>
      <c r="I234" s="3"/>
      <c r="J234" s="8" t="s">
        <v>12</v>
      </c>
    </row>
    <row r="235" ht="15.75" customHeight="1">
      <c r="A235" s="78"/>
      <c r="B235" s="49" t="s">
        <v>511</v>
      </c>
      <c r="C235" s="49" t="s">
        <v>512</v>
      </c>
      <c r="D235" s="49" t="s">
        <v>513</v>
      </c>
      <c r="E235" s="49" t="s">
        <v>514</v>
      </c>
      <c r="F235" s="140">
        <v>1360711.0</v>
      </c>
      <c r="G235" s="141">
        <v>46021.0</v>
      </c>
      <c r="H235" s="2"/>
      <c r="I235" s="3"/>
      <c r="J235" s="8" t="s">
        <v>515</v>
      </c>
      <c r="L235" s="142" t="s">
        <v>516</v>
      </c>
    </row>
    <row r="236" ht="15.75" customHeight="1">
      <c r="A236" s="143" t="s">
        <v>517</v>
      </c>
      <c r="B236" s="49" t="s">
        <v>518</v>
      </c>
      <c r="C236" s="49" t="s">
        <v>519</v>
      </c>
      <c r="D236" s="42">
        <v>7000000.0</v>
      </c>
      <c r="E236" s="42">
        <v>6426815.0</v>
      </c>
      <c r="F236" s="49" t="s">
        <v>520</v>
      </c>
      <c r="G236" s="123" t="s">
        <v>521</v>
      </c>
      <c r="H236" s="2"/>
      <c r="I236" s="3"/>
    </row>
    <row r="237" ht="15.75" customHeight="1">
      <c r="A237" s="139"/>
      <c r="B237" s="49" t="s">
        <v>522</v>
      </c>
      <c r="C237" s="49" t="s">
        <v>523</v>
      </c>
      <c r="D237" s="81"/>
      <c r="E237" s="81"/>
      <c r="F237" s="140">
        <v>3300000.0</v>
      </c>
      <c r="G237" s="141">
        <v>46036.0</v>
      </c>
      <c r="H237" s="2"/>
      <c r="I237" s="3"/>
    </row>
    <row r="238" ht="15.75" customHeight="1">
      <c r="A238" s="139"/>
      <c r="B238" s="49" t="s">
        <v>524</v>
      </c>
      <c r="C238" s="49" t="s">
        <v>525</v>
      </c>
      <c r="D238" s="81"/>
      <c r="E238" s="81"/>
      <c r="F238" s="140">
        <v>2310000.0</v>
      </c>
      <c r="G238" s="141">
        <v>46030.0</v>
      </c>
      <c r="H238" s="2"/>
      <c r="I238" s="3"/>
    </row>
    <row r="239" ht="15.75" customHeight="1">
      <c r="A239" s="139"/>
      <c r="B239" s="49" t="s">
        <v>526</v>
      </c>
      <c r="C239" s="49" t="s">
        <v>527</v>
      </c>
      <c r="D239" s="81"/>
      <c r="E239" s="81"/>
      <c r="F239" s="140">
        <v>3300000.0</v>
      </c>
      <c r="G239" s="141">
        <v>46043.0</v>
      </c>
      <c r="H239" s="2"/>
      <c r="I239" s="3"/>
    </row>
    <row r="240" ht="15.75" customHeight="1">
      <c r="A240" s="78"/>
      <c r="B240" s="49" t="s">
        <v>528</v>
      </c>
      <c r="C240" s="49" t="s">
        <v>529</v>
      </c>
      <c r="D240" s="81"/>
      <c r="E240" s="81"/>
      <c r="F240" s="140">
        <v>3300000.0</v>
      </c>
      <c r="G240" s="141">
        <v>46050.0</v>
      </c>
      <c r="H240" s="2"/>
      <c r="I240" s="3"/>
    </row>
    <row r="241" ht="15.75" customHeight="1">
      <c r="A241" s="51"/>
      <c r="B241" s="52"/>
      <c r="C241" s="129" t="s">
        <v>530</v>
      </c>
      <c r="D241" s="144">
        <v>2.15E7</v>
      </c>
      <c r="E241" s="137">
        <v>2.0713958E7</v>
      </c>
      <c r="F241" s="145">
        <v>1.8470711E7</v>
      </c>
      <c r="G241" s="146"/>
      <c r="H241" s="72"/>
      <c r="I241" s="72"/>
    </row>
    <row r="242" ht="15.75" customHeight="1">
      <c r="B242" s="147"/>
      <c r="C242" s="148" t="s">
        <v>531</v>
      </c>
      <c r="D242" s="149">
        <v>2243247.0</v>
      </c>
      <c r="E242" s="2"/>
      <c r="F242" s="3"/>
      <c r="G242" s="150"/>
    </row>
    <row r="243" ht="15.75" customHeight="1"/>
    <row r="244" ht="15.75" customHeight="1">
      <c r="A244" s="151" t="s">
        <v>532</v>
      </c>
    </row>
    <row r="245" ht="15.75" customHeight="1"/>
    <row r="246" ht="15.75" customHeight="1"/>
    <row r="247" ht="15.75" customHeight="1">
      <c r="A247" s="152" t="s">
        <v>533</v>
      </c>
      <c r="B247" s="2"/>
      <c r="C247" s="2"/>
      <c r="D247" s="2"/>
      <c r="E247" s="2"/>
      <c r="F247" s="2"/>
      <c r="G247" s="2"/>
      <c r="H247" s="2"/>
      <c r="I247" s="2"/>
      <c r="J247" s="3"/>
    </row>
    <row r="248" ht="15.75" customHeight="1">
      <c r="A248" s="153" t="s">
        <v>534</v>
      </c>
      <c r="B248" s="2"/>
      <c r="C248" s="2"/>
      <c r="D248" s="2"/>
      <c r="E248" s="2"/>
      <c r="F248" s="2"/>
      <c r="G248" s="2"/>
      <c r="H248" s="2"/>
      <c r="I248" s="2"/>
      <c r="J248" s="3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56">
    <mergeCell ref="G233:I233"/>
    <mergeCell ref="G234:I234"/>
    <mergeCell ref="G236:I236"/>
    <mergeCell ref="G237:I237"/>
    <mergeCell ref="G238:I238"/>
    <mergeCell ref="G239:I239"/>
    <mergeCell ref="G240:I240"/>
    <mergeCell ref="G241:I241"/>
    <mergeCell ref="D242:F242"/>
    <mergeCell ref="A205:E205"/>
    <mergeCell ref="A208:I208"/>
    <mergeCell ref="A209:G209"/>
    <mergeCell ref="H209:I209"/>
    <mergeCell ref="A210:G210"/>
    <mergeCell ref="H210:I210"/>
    <mergeCell ref="A211:G211"/>
    <mergeCell ref="A212:G212"/>
    <mergeCell ref="A213:G213"/>
    <mergeCell ref="A214:G214"/>
    <mergeCell ref="A215:G215"/>
    <mergeCell ref="A216:G216"/>
    <mergeCell ref="A217:G217"/>
    <mergeCell ref="A218:G218"/>
    <mergeCell ref="A219:G219"/>
    <mergeCell ref="H219:I219"/>
    <mergeCell ref="A222:I222"/>
    <mergeCell ref="B223:C223"/>
    <mergeCell ref="F223:F224"/>
    <mergeCell ref="G223:I224"/>
    <mergeCell ref="A224:D224"/>
    <mergeCell ref="G231:I231"/>
    <mergeCell ref="G232:I232"/>
    <mergeCell ref="A230:A235"/>
    <mergeCell ref="A236:A240"/>
    <mergeCell ref="A241:B242"/>
    <mergeCell ref="G225:I225"/>
    <mergeCell ref="G226:I226"/>
    <mergeCell ref="G227:I227"/>
    <mergeCell ref="G228:I228"/>
    <mergeCell ref="G229:I229"/>
    <mergeCell ref="G230:I230"/>
    <mergeCell ref="G235:I235"/>
    <mergeCell ref="G242:I242"/>
    <mergeCell ref="A247:J247"/>
    <mergeCell ref="A248:J248"/>
    <mergeCell ref="A1:H1"/>
    <mergeCell ref="A2:R2"/>
    <mergeCell ref="A3:Q3"/>
    <mergeCell ref="A4:R4"/>
    <mergeCell ref="A76:B76"/>
    <mergeCell ref="A79:E79"/>
    <mergeCell ref="A87:B87"/>
    <mergeCell ref="A94:B94"/>
    <mergeCell ref="C94:D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5:B105"/>
    <mergeCell ref="A92:D92"/>
    <mergeCell ref="A93:D93"/>
    <mergeCell ref="A106:B106"/>
    <mergeCell ref="A107:B107"/>
    <mergeCell ref="A108:B108"/>
    <mergeCell ref="A109:B109"/>
    <mergeCell ref="A110:B110"/>
    <mergeCell ref="A111:D111"/>
    <mergeCell ref="A112:D112"/>
    <mergeCell ref="E112:E113"/>
    <mergeCell ref="A113:D113"/>
    <mergeCell ref="F112:F113"/>
    <mergeCell ref="G112:G113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6:B126"/>
    <mergeCell ref="A127:B127"/>
    <mergeCell ref="A128:B128"/>
    <mergeCell ref="A129:B129"/>
    <mergeCell ref="A130:B130"/>
    <mergeCell ref="A131:B131"/>
    <mergeCell ref="A132:D132"/>
    <mergeCell ref="A133:D133"/>
    <mergeCell ref="E133:E134"/>
    <mergeCell ref="F133:F134"/>
    <mergeCell ref="G133:G134"/>
    <mergeCell ref="H133:H134"/>
    <mergeCell ref="A134:D134"/>
    <mergeCell ref="A135:B135"/>
    <mergeCell ref="C135:D135"/>
    <mergeCell ref="A136:B136"/>
    <mergeCell ref="A137:B137"/>
    <mergeCell ref="A138:B138"/>
    <mergeCell ref="A139:B139"/>
    <mergeCell ref="A140:B140"/>
    <mergeCell ref="A141:B141"/>
    <mergeCell ref="A169:B169"/>
    <mergeCell ref="A180:B180"/>
    <mergeCell ref="A154:B154"/>
    <mergeCell ref="C154:D154"/>
    <mergeCell ref="A157:B157"/>
    <mergeCell ref="G157:G159"/>
    <mergeCell ref="A161:B161"/>
    <mergeCell ref="G161:G167"/>
    <mergeCell ref="G169:G178"/>
    <mergeCell ref="A196:B196"/>
    <mergeCell ref="A197:B197"/>
    <mergeCell ref="G180:G182"/>
    <mergeCell ref="A181:B181"/>
    <mergeCell ref="A182:B182"/>
    <mergeCell ref="A184:B184"/>
    <mergeCell ref="G184:G186"/>
    <mergeCell ref="A188:B188"/>
    <mergeCell ref="A192:B192"/>
    <mergeCell ref="H112:H113"/>
    <mergeCell ref="A114:B114"/>
    <mergeCell ref="C114:D114"/>
    <mergeCell ref="A143:B143"/>
    <mergeCell ref="A144:B144"/>
    <mergeCell ref="A145:B145"/>
    <mergeCell ref="A146:B146"/>
    <mergeCell ref="A147:B147"/>
    <mergeCell ref="A148:B148"/>
    <mergeCell ref="A90:J90"/>
    <mergeCell ref="A91:D91"/>
    <mergeCell ref="E92:E93"/>
    <mergeCell ref="F92:F93"/>
    <mergeCell ref="G92:G93"/>
    <mergeCell ref="H92:H93"/>
    <mergeCell ref="I92:I150"/>
    <mergeCell ref="A149:D149"/>
    <mergeCell ref="A150:D150"/>
    <mergeCell ref="A151:E151"/>
    <mergeCell ref="A152:D152"/>
    <mergeCell ref="I152:I154"/>
    <mergeCell ref="A153:B153"/>
    <mergeCell ref="C153:D153"/>
    <mergeCell ref="G188:G190"/>
    <mergeCell ref="G192:G194"/>
    <mergeCell ref="G196:G199"/>
    <mergeCell ref="A198:B198"/>
    <mergeCell ref="A199:B199"/>
    <mergeCell ref="A201:B201"/>
    <mergeCell ref="G201:G202"/>
  </mergeCells>
  <hyperlinks>
    <hyperlink r:id="rId1" ref="A3"/>
    <hyperlink display="VER DETALLE" location="'LA UNION E HIJOS'!A1" ref="L235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71"/>
  </cols>
  <sheetData>
    <row r="1">
      <c r="A1" s="4" t="s">
        <v>1</v>
      </c>
      <c r="B1" s="7" t="s">
        <v>4</v>
      </c>
      <c r="C1" s="8"/>
    </row>
    <row r="2">
      <c r="A2" s="9">
        <v>46386.0</v>
      </c>
      <c r="B2" s="10">
        <v>22895.81</v>
      </c>
      <c r="C2" s="8" t="s">
        <v>12</v>
      </c>
    </row>
    <row r="3">
      <c r="A3" s="9">
        <v>46386.0</v>
      </c>
      <c r="B3" s="10">
        <v>23598.23</v>
      </c>
      <c r="C3" s="8" t="s">
        <v>12</v>
      </c>
    </row>
    <row r="4">
      <c r="A4" s="9">
        <v>46386.0</v>
      </c>
      <c r="B4" s="10">
        <v>24361.2</v>
      </c>
      <c r="C4" s="8" t="s">
        <v>12</v>
      </c>
    </row>
    <row r="5">
      <c r="A5" s="9">
        <v>46386.0</v>
      </c>
      <c r="B5" s="10">
        <v>520591.32</v>
      </c>
      <c r="C5" s="8" t="s">
        <v>12</v>
      </c>
    </row>
    <row r="6">
      <c r="A6" s="9">
        <v>46386.0</v>
      </c>
      <c r="B6" s="10">
        <v>769264.83</v>
      </c>
      <c r="C6" s="8" t="s">
        <v>12</v>
      </c>
    </row>
    <row r="7">
      <c r="A7" s="8" t="s">
        <v>14</v>
      </c>
      <c r="B7" s="16">
        <f>SUM(B2:B6)</f>
        <v>1360711.39</v>
      </c>
      <c r="C7" s="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3</v>
      </c>
      <c r="B1" s="8"/>
      <c r="C1" s="8"/>
      <c r="D1" s="8"/>
      <c r="E1" s="8"/>
      <c r="F1" s="8"/>
    </row>
    <row r="2">
      <c r="A2" s="8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</row>
    <row r="3">
      <c r="A3" s="9">
        <v>46361.0</v>
      </c>
      <c r="B3" s="8" t="s">
        <v>13</v>
      </c>
      <c r="C3" s="10" t="str">
        <f>'12.2025'!L113</f>
        <v>#REF!</v>
      </c>
      <c r="D3" s="10">
        <v>1089415.0</v>
      </c>
      <c r="E3" s="10" t="str">
        <f t="shared" ref="E3:E14" si="1">C3-D3</f>
        <v>#REF!</v>
      </c>
      <c r="F3" s="8" t="s">
        <v>18</v>
      </c>
    </row>
    <row r="4">
      <c r="A4" s="15">
        <v>46361.0</v>
      </c>
      <c r="B4" s="17" t="s">
        <v>21</v>
      </c>
      <c r="C4" s="19" t="str">
        <f>'12.2025'!L132</f>
        <v>#REF!</v>
      </c>
      <c r="D4" s="19">
        <v>681302.0</v>
      </c>
      <c r="E4" s="19" t="str">
        <f t="shared" si="1"/>
        <v>#REF!</v>
      </c>
      <c r="F4" s="17" t="s">
        <v>26</v>
      </c>
    </row>
    <row r="5">
      <c r="A5" s="15">
        <v>46361.0</v>
      </c>
      <c r="B5" s="17" t="s">
        <v>28</v>
      </c>
      <c r="C5" s="19" t="str">
        <f>'12.2025'!L148</f>
        <v>#REF!</v>
      </c>
      <c r="D5" s="19">
        <v>688435.0</v>
      </c>
      <c r="E5" s="19" t="str">
        <f t="shared" si="1"/>
        <v>#REF!</v>
      </c>
      <c r="F5" s="17" t="s">
        <v>29</v>
      </c>
    </row>
    <row r="6">
      <c r="A6" s="9">
        <v>46374.0</v>
      </c>
      <c r="B6" s="8" t="s">
        <v>30</v>
      </c>
      <c r="C6" s="10" t="str">
        <f>'12.2025'!L114</f>
        <v>#REF!</v>
      </c>
      <c r="D6" s="10">
        <v>1287347.0</v>
      </c>
      <c r="E6" s="10" t="str">
        <f t="shared" si="1"/>
        <v>#REF!</v>
      </c>
      <c r="F6" s="8" t="s">
        <v>37</v>
      </c>
    </row>
    <row r="7">
      <c r="A7" s="9">
        <v>46374.0</v>
      </c>
      <c r="B7" s="8" t="s">
        <v>39</v>
      </c>
      <c r="C7" s="10" t="str">
        <f>'12.2025'!L133</f>
        <v>#REF!</v>
      </c>
      <c r="D7" s="10">
        <v>0.0</v>
      </c>
      <c r="E7" s="10" t="str">
        <f t="shared" si="1"/>
        <v>#REF!</v>
      </c>
      <c r="F7" s="8" t="s">
        <v>37</v>
      </c>
    </row>
    <row r="8">
      <c r="A8" s="9">
        <v>46374.0</v>
      </c>
      <c r="B8" s="8" t="s">
        <v>44</v>
      </c>
      <c r="C8" s="10" t="str">
        <f>'12.2025'!L149</f>
        <v>#REF!</v>
      </c>
      <c r="D8" s="10">
        <v>0.0</v>
      </c>
      <c r="E8" s="10" t="str">
        <f t="shared" si="1"/>
        <v>#REF!</v>
      </c>
      <c r="F8" s="8" t="s">
        <v>37</v>
      </c>
    </row>
    <row r="9">
      <c r="A9" s="9">
        <v>46368.0</v>
      </c>
      <c r="B9" s="8" t="s">
        <v>48</v>
      </c>
      <c r="C9" s="10" t="str">
        <f>'12.2025'!L153</f>
        <v>#REF!</v>
      </c>
      <c r="D9" s="10" t="str">
        <f>'12.2025'!F153</f>
        <v>#REF!</v>
      </c>
      <c r="E9" s="10" t="str">
        <f t="shared" si="1"/>
        <v>#REF!</v>
      </c>
      <c r="F9" s="8" t="s">
        <v>53</v>
      </c>
    </row>
    <row r="10">
      <c r="A10" s="9">
        <v>46368.0</v>
      </c>
      <c r="B10" s="8" t="s">
        <v>55</v>
      </c>
      <c r="C10" s="10">
        <v>15578.92</v>
      </c>
      <c r="D10" s="28">
        <v>679584.04</v>
      </c>
      <c r="E10" s="10">
        <f t="shared" si="1"/>
        <v>-664005.12</v>
      </c>
      <c r="F10" s="8" t="s">
        <v>59</v>
      </c>
    </row>
    <row r="11">
      <c r="A11" s="9">
        <v>46368.0</v>
      </c>
      <c r="B11" s="8" t="s">
        <v>61</v>
      </c>
      <c r="C11" s="10">
        <v>140210.29</v>
      </c>
      <c r="D11" s="10">
        <v>0.0</v>
      </c>
      <c r="E11" s="10">
        <f t="shared" si="1"/>
        <v>140210.29</v>
      </c>
      <c r="F11" s="8" t="s">
        <v>59</v>
      </c>
    </row>
    <row r="12">
      <c r="A12" s="9">
        <v>46368.0</v>
      </c>
      <c r="B12" s="8" t="s">
        <v>64</v>
      </c>
      <c r="C12" s="10">
        <v>255053.93</v>
      </c>
      <c r="D12" s="10">
        <v>0.0</v>
      </c>
      <c r="E12" s="10">
        <f t="shared" si="1"/>
        <v>255053.93</v>
      </c>
      <c r="F12" s="8" t="s">
        <v>59</v>
      </c>
    </row>
    <row r="13">
      <c r="A13" s="17" t="s">
        <v>67</v>
      </c>
      <c r="B13" s="17" t="s">
        <v>68</v>
      </c>
      <c r="C13" s="19">
        <v>1360711.3900000001</v>
      </c>
      <c r="D13" s="29">
        <v>3500000.0</v>
      </c>
      <c r="E13" s="19">
        <f t="shared" si="1"/>
        <v>-2139288.61</v>
      </c>
      <c r="F13" s="17" t="s">
        <v>72</v>
      </c>
    </row>
    <row r="14">
      <c r="A14" s="17">
        <v>46368.0</v>
      </c>
      <c r="B14" s="17" t="s">
        <v>74</v>
      </c>
      <c r="C14" s="19">
        <v>175845.0</v>
      </c>
      <c r="D14" s="29">
        <v>212900.0</v>
      </c>
      <c r="E14" s="19">
        <f t="shared" si="1"/>
        <v>-37055</v>
      </c>
      <c r="F14" s="17" t="s">
        <v>77</v>
      </c>
    </row>
    <row r="15">
      <c r="A15" s="9">
        <v>46361.0</v>
      </c>
      <c r="B15" s="8" t="s">
        <v>79</v>
      </c>
      <c r="C15" s="10">
        <v>2372281.23</v>
      </c>
      <c r="D15" s="28">
        <v>3704325.04</v>
      </c>
      <c r="E15" s="10">
        <f>D15-C15</f>
        <v>1332043.81</v>
      </c>
      <c r="F15" s="8" t="s">
        <v>59</v>
      </c>
    </row>
    <row r="16">
      <c r="A16" s="8"/>
      <c r="B16" s="8"/>
      <c r="C16" s="8"/>
      <c r="D16" s="8"/>
      <c r="E16" s="8"/>
      <c r="F16" s="8"/>
    </row>
    <row r="17">
      <c r="A17" s="6" t="s">
        <v>86</v>
      </c>
      <c r="B17" s="8"/>
      <c r="C17" s="8"/>
      <c r="D17" s="8"/>
      <c r="E17" s="8"/>
      <c r="F17" s="8"/>
    </row>
    <row r="18">
      <c r="A18" s="9" t="s">
        <v>89</v>
      </c>
      <c r="B18" s="8" t="s">
        <v>90</v>
      </c>
      <c r="C18" s="8">
        <v>32000.04</v>
      </c>
      <c r="D18" s="8" t="s">
        <v>92</v>
      </c>
      <c r="E18" s="8"/>
      <c r="F18" s="8"/>
    </row>
    <row r="19">
      <c r="A19" s="9" t="s">
        <v>94</v>
      </c>
      <c r="B19" s="8" t="s">
        <v>95</v>
      </c>
      <c r="C19" s="8">
        <v>32000.04</v>
      </c>
      <c r="D19" s="8" t="s">
        <v>97</v>
      </c>
      <c r="E19" s="8"/>
      <c r="F19" s="8"/>
    </row>
    <row r="20">
      <c r="A20" s="8" t="s">
        <v>98</v>
      </c>
      <c r="B20" s="8" t="s">
        <v>99</v>
      </c>
      <c r="C20" s="30">
        <v>87866.77</v>
      </c>
      <c r="D20" s="8" t="s">
        <v>102</v>
      </c>
      <c r="E20" s="8"/>
      <c r="F20" s="8"/>
    </row>
    <row r="21">
      <c r="A21" s="8" t="s">
        <v>103</v>
      </c>
      <c r="B21" s="8"/>
      <c r="C21" s="30">
        <v>18900.0</v>
      </c>
      <c r="D21" s="8" t="s">
        <v>105</v>
      </c>
      <c r="E21" s="8"/>
      <c r="F21" s="8"/>
    </row>
    <row r="22">
      <c r="A22" s="8"/>
      <c r="B22" s="8"/>
      <c r="C22" s="31"/>
      <c r="D22" s="8"/>
      <c r="E22" s="8"/>
      <c r="F22" s="8"/>
    </row>
    <row r="23">
      <c r="A23" s="6" t="s">
        <v>108</v>
      </c>
      <c r="B23" s="8"/>
      <c r="C23" s="31"/>
      <c r="D23" s="8"/>
      <c r="E23" s="8"/>
      <c r="F23" s="8"/>
    </row>
    <row r="24">
      <c r="A24" s="8"/>
      <c r="B24" s="8" t="s">
        <v>109</v>
      </c>
      <c r="C24" s="8" t="s">
        <v>111</v>
      </c>
      <c r="D24" s="32">
        <v>65000.0</v>
      </c>
      <c r="E24" s="8"/>
      <c r="F24" s="8"/>
    </row>
    <row r="25">
      <c r="A25" s="8"/>
      <c r="B25" s="8"/>
      <c r="C25" s="31"/>
      <c r="D25" s="8"/>
      <c r="E25" s="8"/>
      <c r="F25" s="8"/>
    </row>
    <row r="26">
      <c r="A26" s="6" t="s">
        <v>114</v>
      </c>
      <c r="B26" s="8"/>
      <c r="C26" s="8"/>
      <c r="D26" s="8"/>
      <c r="E26" s="8"/>
      <c r="F26" s="8"/>
    </row>
    <row r="27">
      <c r="A27" s="9">
        <v>46361.0</v>
      </c>
      <c r="B27" s="8" t="s">
        <v>116</v>
      </c>
      <c r="C27" s="10">
        <v>700000.0</v>
      </c>
      <c r="D27" s="8" t="s">
        <v>117</v>
      </c>
      <c r="E27" s="8" t="s">
        <v>118</v>
      </c>
      <c r="F27" s="8"/>
    </row>
    <row r="28">
      <c r="A28" s="33">
        <v>46368.0</v>
      </c>
      <c r="B28" s="34" t="s">
        <v>121</v>
      </c>
      <c r="C28" s="35">
        <v>160000.0</v>
      </c>
      <c r="D28" s="34" t="s">
        <v>122</v>
      </c>
      <c r="E28" s="34" t="s">
        <v>123</v>
      </c>
      <c r="F28" s="8"/>
    </row>
    <row r="29">
      <c r="A29" s="9">
        <v>46368.0</v>
      </c>
      <c r="B29" s="8" t="s">
        <v>116</v>
      </c>
      <c r="C29" s="10">
        <v>1000000.0</v>
      </c>
      <c r="D29" s="8" t="s">
        <v>125</v>
      </c>
      <c r="E29" s="8" t="s">
        <v>118</v>
      </c>
      <c r="F29" s="8"/>
    </row>
    <row r="30">
      <c r="A30" s="9">
        <v>46374.0</v>
      </c>
      <c r="B30" s="8" t="s">
        <v>116</v>
      </c>
      <c r="C30" s="10">
        <v>1700000.0</v>
      </c>
      <c r="D30" s="8" t="s">
        <v>128</v>
      </c>
      <c r="E30" s="8" t="s">
        <v>118</v>
      </c>
      <c r="F30" s="8"/>
    </row>
    <row r="31">
      <c r="A31" s="9">
        <v>46378.0</v>
      </c>
      <c r="B31" s="8" t="s">
        <v>116</v>
      </c>
      <c r="C31" s="10">
        <v>1500000.0</v>
      </c>
      <c r="D31" s="8" t="s">
        <v>130</v>
      </c>
      <c r="E31" s="8" t="s">
        <v>118</v>
      </c>
      <c r="F31" s="8"/>
    </row>
    <row r="32">
      <c r="A32" s="8"/>
      <c r="B32" s="8"/>
      <c r="C32" s="31"/>
      <c r="D32" s="8"/>
      <c r="E32" s="8"/>
      <c r="F32" s="8"/>
    </row>
    <row r="33">
      <c r="A33" s="8"/>
      <c r="B33" s="8"/>
      <c r="C33" s="8"/>
      <c r="D33" s="8"/>
      <c r="E33" s="8"/>
      <c r="F33" s="8"/>
    </row>
    <row r="34">
      <c r="A34" s="8"/>
      <c r="B34" s="8"/>
      <c r="C34" s="8"/>
      <c r="D34" s="8"/>
      <c r="E34" s="8"/>
      <c r="F34" s="8"/>
    </row>
    <row r="35">
      <c r="A35" s="8"/>
      <c r="B35" s="8"/>
      <c r="C35" s="8"/>
      <c r="D35" s="8"/>
      <c r="E35" s="8"/>
      <c r="F35" s="8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2026-08-08T04:10:20Z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2026-02-03T00:00:00Z</vt:filetime>
  </property>
  <property fmtid="{D5CDD505-2E9C-101B-9397-08002B2CF9AE}" pid="4" name="LastSaved">
    <vt:filetime>2026-08-08T00:00:00Z</vt:filetime>
  </property>
</Properties>
</file>